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cuments\deltazero26\algo_trading\algos\"/>
    </mc:Choice>
  </mc:AlternateContent>
  <xr:revisionPtr revIDLastSave="0" documentId="13_ncr:1_{57BC39FF-1C27-41E6-B3A7-8A53C3A93ABF}" xr6:coauthVersionLast="47" xr6:coauthVersionMax="47" xr10:uidLastSave="{00000000-0000-0000-0000-000000000000}"/>
  <bookViews>
    <workbookView xWindow="-108" yWindow="-108" windowWidth="23256" windowHeight="12576" firstSheet="3" activeTab="4" xr2:uid="{00000000-000D-0000-FFFF-FFFF00000000}"/>
  </bookViews>
  <sheets>
    <sheet name="Stock_list" sheetId="1" r:id="rId1"/>
    <sheet name="stock_config" sheetId="2" r:id="rId2"/>
    <sheet name="ref_list" sheetId="3" r:id="rId3"/>
    <sheet name="nfo_config" sheetId="5" r:id="rId4"/>
    <sheet name="nfo_list" sheetId="4" r:id="rId5"/>
    <sheet name="nse_stoploss" sheetId="6" r:id="rId6"/>
    <sheet name="stoploss_tbl" sheetId="13" r:id="rId7"/>
    <sheet name="derloss_tbl" sheetId="14" r:id="rId8"/>
    <sheet name="nse_holiday_info" sheetId="7" r:id="rId9"/>
    <sheet name="nfo_list (2)" sheetId="11" r:id="rId10"/>
    <sheet name="new_fno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2" i="4"/>
  <c r="N13" i="12"/>
  <c r="N12" i="12"/>
  <c r="N11" i="12"/>
  <c r="N10" i="12"/>
  <c r="N9" i="12"/>
  <c r="N7" i="12"/>
  <c r="N6" i="12"/>
  <c r="N5" i="12"/>
  <c r="N4" i="12"/>
  <c r="N3" i="12"/>
  <c r="AC6" i="3"/>
  <c r="AC5" i="3"/>
  <c r="AC4" i="3"/>
  <c r="AC3" i="3"/>
  <c r="AD6" i="4"/>
  <c r="AD5" i="4"/>
  <c r="AD4" i="4"/>
  <c r="AC6" i="11"/>
  <c r="AC5" i="11"/>
  <c r="AC4" i="11"/>
  <c r="AC3" i="11"/>
  <c r="AD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Unknown Author</author>
  </authors>
  <commentList>
    <comment ref="J1" authorId="0" shapeId="0" xr:uid="{E363E46C-40B6-4EEA-AF21-EE266D444B6A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set 1 for buy enable</t>
        </r>
      </text>
    </comment>
    <comment ref="Q1" authorId="1" shapeId="0" xr:uid="{00000000-0006-0000-0200-000002000000}">
      <text>
        <r>
          <rPr>
            <sz val="11"/>
            <color rgb="FF000000"/>
            <rFont val="Calibri"/>
            <family val="2"/>
            <charset val="1"/>
          </rPr>
          <t>Admin:
not used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Unknown Author</author>
  </authors>
  <commentList>
    <comment ref="H1" authorId="0" shapeId="0" xr:uid="{430495FF-E497-49AC-AF35-B9259CBB017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this will get futures</t>
        </r>
      </text>
    </comment>
    <comment ref="J1" authorId="1" shapeId="0" xr:uid="{00000000-0006-0000-0300-000001000000}">
      <text>
        <r>
          <rPr>
            <sz val="11"/>
            <color rgb="FF000000"/>
            <rFont val="Calibri"/>
            <family val="2"/>
            <charset val="1"/>
          </rPr>
          <t>Admin:
max value is 1</t>
        </r>
      </text>
    </comment>
    <comment ref="M1" authorId="0" shapeId="0" xr:uid="{3FD86517-0A3E-4FA9-A9AE-91A9C53EEC4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prices are multiples of lots</t>
        </r>
      </text>
    </comment>
    <comment ref="R1" authorId="1" shapeId="0" xr:uid="{00000000-0006-0000-0300-000002000000}">
      <text>
        <r>
          <rPr>
            <sz val="11"/>
            <color rgb="FF000000"/>
            <rFont val="Calibri"/>
            <family val="2"/>
            <charset val="1"/>
          </rPr>
          <t>Admin:
not used</t>
        </r>
      </text>
    </comment>
    <comment ref="T1" authorId="1" shapeId="0" xr:uid="{00000000-0006-0000-0300-000003000000}">
      <text>
        <r>
          <rPr>
            <sz val="11"/>
            <color rgb="FF000000"/>
            <rFont val="Calibri"/>
            <family val="2"/>
            <charset val="1"/>
          </rPr>
          <t>Currently disabled</t>
        </r>
      </text>
    </comment>
    <comment ref="L2" authorId="0" shapeId="0" xr:uid="{57A8C199-CF47-4680-95F3-183B750D489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15000</t>
        </r>
      </text>
    </comment>
    <comment ref="M2" authorId="0" shapeId="0" xr:uid="{B8252F49-9A33-4E5E-9913-D14F1F33A5A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15000</t>
        </r>
      </text>
    </comment>
    <comment ref="L4" authorId="0" shapeId="0" xr:uid="{6D5EEF18-D94A-4C48-9281-0E468F5B4BE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40000</t>
        </r>
      </text>
    </comment>
    <comment ref="M4" authorId="0" shapeId="0" xr:uid="{EFE6B398-9F4E-44D2-9F41-FB058D9672D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40000</t>
        </r>
      </text>
    </comment>
    <comment ref="L5" authorId="0" shapeId="0" xr:uid="{19FD351B-D013-4582-AECB-C9CF3816B04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100000</t>
        </r>
      </text>
    </comment>
    <comment ref="M5" authorId="0" shapeId="0" xr:uid="{AA5DF0D7-99DF-45DD-9B92-21CE277A476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100000</t>
        </r>
      </text>
    </comment>
    <comment ref="L7" authorId="0" shapeId="0" xr:uid="{701AB2D1-74DF-4735-BDBA-8306A3FC8C95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50000</t>
        </r>
      </text>
    </comment>
    <comment ref="M7" authorId="0" shapeId="0" xr:uid="{6FA9B503-13DD-4ADA-80AB-2A50AC520F1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50000</t>
        </r>
      </text>
    </comment>
    <comment ref="N7" authorId="0" shapeId="0" xr:uid="{ED5EA436-57AF-43BA-90A2-ACE2CB3C31D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50000</t>
        </r>
      </text>
    </comment>
    <comment ref="L8" authorId="0" shapeId="0" xr:uid="{B0B6FF44-35A4-44CA-B101-EC471771DE7D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75000</t>
        </r>
      </text>
    </comment>
    <comment ref="M8" authorId="0" shapeId="0" xr:uid="{AEF733C4-06BE-402E-8440-00733B1B54E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75000</t>
        </r>
      </text>
    </comment>
    <comment ref="N8" authorId="0" shapeId="0" xr:uid="{12669BAD-663C-495A-93B8-00BB74A0653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75000</t>
        </r>
      </text>
    </comment>
    <comment ref="L9" authorId="0" shapeId="0" xr:uid="{06C426F6-6732-4308-8A80-0DAF6808C34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100000</t>
        </r>
      </text>
    </comment>
    <comment ref="M9" authorId="0" shapeId="0" xr:uid="{0514E3D3-5FBA-4B40-A8FD-729CB99FA93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100000</t>
        </r>
      </text>
    </comment>
    <comment ref="L10" authorId="0" shapeId="0" xr:uid="{81DA1C58-DF32-4359-9BDC-EE26F63F46E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75000</t>
        </r>
      </text>
    </comment>
    <comment ref="M10" authorId="0" shapeId="0" xr:uid="{811C7100-47DB-47E8-AA7E-4164436B638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75000</t>
        </r>
      </text>
    </comment>
    <comment ref="L11" authorId="0" shapeId="0" xr:uid="{620711F4-BD55-4C06-BDE4-C790396E4764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30000</t>
        </r>
      </text>
    </comment>
    <comment ref="M11" authorId="0" shapeId="0" xr:uid="{4AF70AFD-9B15-4844-B13F-42967E5C7CD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30000</t>
        </r>
      </text>
    </comment>
    <comment ref="L13" authorId="0" shapeId="0" xr:uid="{DE266DF9-F55A-4FA1-8EF2-105E23D4F9F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30000</t>
        </r>
      </text>
    </comment>
    <comment ref="M13" authorId="0" shapeId="0" xr:uid="{83CADAE1-1592-4C22-BF35-837440929AA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30000</t>
        </r>
      </text>
    </comment>
    <comment ref="L15" authorId="0" shapeId="0" xr:uid="{3FABA97A-B58F-4331-9628-67587CDF9E1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30000</t>
        </r>
      </text>
    </comment>
    <comment ref="M15" authorId="0" shapeId="0" xr:uid="{30790A56-2194-4884-AE4D-4712AA3FCD1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30000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" authorId="0" shapeId="0" xr:uid="{D504D4CD-EFFF-4AD0-A392-4F36876C27CF}">
      <text>
        <r>
          <rPr>
            <sz val="11"/>
            <color rgb="FF000000"/>
            <rFont val="Calibri"/>
            <family val="2"/>
            <charset val="1"/>
          </rPr>
          <t>Admin:
max value is 1</t>
        </r>
      </text>
    </comment>
    <comment ref="Q1" authorId="0" shapeId="0" xr:uid="{CCF763D9-A924-4D9D-9991-A01221BACE0D}">
      <text>
        <r>
          <rPr>
            <sz val="11"/>
            <color rgb="FF000000"/>
            <rFont val="Calibri"/>
            <family val="2"/>
            <charset val="1"/>
          </rPr>
          <t>Admin:
not used</t>
        </r>
      </text>
    </comment>
    <comment ref="S1" authorId="0" shapeId="0" xr:uid="{B06ED3CD-AE66-4B17-893D-3F455A07D679}">
      <text>
        <r>
          <rPr>
            <sz val="11"/>
            <color rgb="FF000000"/>
            <rFont val="Calibri"/>
            <family val="2"/>
            <charset val="1"/>
          </rPr>
          <t>Currently disabled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6DE1D23A-D0B2-4288-9C02-A9CDA81197A1}">
      <text>
        <r>
          <rPr>
            <sz val="11"/>
            <color rgb="FF000000"/>
            <rFont val="Calibri"/>
            <family val="2"/>
            <charset val="1"/>
          </rPr>
          <t>Admin:
max value is 1</t>
        </r>
      </text>
    </comment>
  </commentList>
</comments>
</file>

<file path=xl/sharedStrings.xml><?xml version="1.0" encoding="utf-8"?>
<sst xmlns="http://schemas.openxmlformats.org/spreadsheetml/2006/main" count="1829" uniqueCount="389">
  <si>
    <t>Symbol</t>
  </si>
  <si>
    <t>Company Name</t>
  </si>
  <si>
    <t>Industry</t>
  </si>
  <si>
    <t>Tradable_group</t>
  </si>
  <si>
    <t>Tradable_stock</t>
  </si>
  <si>
    <t>Instrument_type</t>
  </si>
  <si>
    <t>Ref_stock</t>
  </si>
  <si>
    <t>Nifty_index</t>
  </si>
  <si>
    <t>ABBOTINDIA</t>
  </si>
  <si>
    <t>Abbott India Ltd.</t>
  </si>
  <si>
    <t>PHARMA</t>
  </si>
  <si>
    <t>Yes</t>
  </si>
  <si>
    <t>Stock</t>
  </si>
  <si>
    <t>NIFTY 50</t>
  </si>
  <si>
    <t>ALKEM</t>
  </si>
  <si>
    <t>Alkem Laboratories Ltd.</t>
  </si>
  <si>
    <t>AUROPHARMA</t>
  </si>
  <si>
    <t>Aurobindo Pharma Ltd.</t>
  </si>
  <si>
    <t>BIOCON</t>
  </si>
  <si>
    <t>Biocon Ltd.</t>
  </si>
  <si>
    <t>CADILAHC</t>
  </si>
  <si>
    <t>Cadila Healthcare Ltd.</t>
  </si>
  <si>
    <t>CIPLA</t>
  </si>
  <si>
    <t>Cipla Ltd.</t>
  </si>
  <si>
    <t>DIVISLAB</t>
  </si>
  <si>
    <t>Divi's Laboratories Ltd.</t>
  </si>
  <si>
    <t>DRREDDY</t>
  </si>
  <si>
    <t>Dr. Reddy's Laboratories Ltd.</t>
  </si>
  <si>
    <t>GLAXO</t>
  </si>
  <si>
    <t>Glaxosmithkline Pharmaceuticals Ltd.</t>
  </si>
  <si>
    <t>GLENMARK</t>
  </si>
  <si>
    <t>Glenmark Pharmaceuticals Ltd.</t>
  </si>
  <si>
    <t>IPCALAB</t>
  </si>
  <si>
    <t>Ipca Laboratories Ltd.</t>
  </si>
  <si>
    <t>LUPIN</t>
  </si>
  <si>
    <t>Lupin Ltd.</t>
  </si>
  <si>
    <t>NATCOPHARM</t>
  </si>
  <si>
    <t>NATCO Pharma Ltd.</t>
  </si>
  <si>
    <t>PFIZER</t>
  </si>
  <si>
    <t>Pfizer Ltd.</t>
  </si>
  <si>
    <t>SANOFI</t>
  </si>
  <si>
    <t>Sanofi India Ltd.</t>
  </si>
  <si>
    <t>SUNPHARMA</t>
  </si>
  <si>
    <t>Sun Pharmaceutical Industries Ltd.</t>
  </si>
  <si>
    <t>TORNTPHARM</t>
  </si>
  <si>
    <t>Torrent Pharmaceuticals Ltd.</t>
  </si>
  <si>
    <t>ATGL-BE</t>
  </si>
  <si>
    <t>Adani Total Gas Ltd.</t>
  </si>
  <si>
    <t>OIL &amp; GAS</t>
  </si>
  <si>
    <t>BPCL</t>
  </si>
  <si>
    <t>Bharat Petroleum Corporation Ltd.</t>
  </si>
  <si>
    <t>CASTROLIND</t>
  </si>
  <si>
    <t>Castrol India Ltd.</t>
  </si>
  <si>
    <t>GAIL</t>
  </si>
  <si>
    <t>GAIL (India) Ltd.</t>
  </si>
  <si>
    <t>GUJGASLTD</t>
  </si>
  <si>
    <t>Gujarat Gas Ltd.</t>
  </si>
  <si>
    <t>GSPL</t>
  </si>
  <si>
    <t>Gujarat State Petronet Ltd.</t>
  </si>
  <si>
    <t>GULFOILLUB</t>
  </si>
  <si>
    <t>Gulf Oil Lubricants India Ltd.</t>
  </si>
  <si>
    <t>HINDPETRO</t>
  </si>
  <si>
    <t>Hindustan Petroleum Corporation Ltd.</t>
  </si>
  <si>
    <t>IOC</t>
  </si>
  <si>
    <t>Indian Oil Corporation Ltd.</t>
  </si>
  <si>
    <t>IGL</t>
  </si>
  <si>
    <t>Indraprastha Gas Ltd.</t>
  </si>
  <si>
    <t>MGL</t>
  </si>
  <si>
    <t>Mahanagar Gas Ltd.</t>
  </si>
  <si>
    <t>ONGC</t>
  </si>
  <si>
    <t>Oil &amp; Natural Gas Corporation Ltd.</t>
  </si>
  <si>
    <t>OIL</t>
  </si>
  <si>
    <t>Oil India Ltd.</t>
  </si>
  <si>
    <t>PETRONET</t>
  </si>
  <si>
    <t>Petronet LNG Ltd.</t>
  </si>
  <si>
    <t>RELIANCE</t>
  </si>
  <si>
    <t>Reliance Industries Ltd.</t>
  </si>
  <si>
    <t>APLAPOLLO</t>
  </si>
  <si>
    <t>APL Apollo Tubes Ltd.</t>
  </si>
  <si>
    <t>METALS</t>
  </si>
  <si>
    <t>ADANIENT</t>
  </si>
  <si>
    <t>Adani Enterprises Ltd.</t>
  </si>
  <si>
    <t>COALINDIA</t>
  </si>
  <si>
    <t>Coal India Ltd.</t>
  </si>
  <si>
    <t>HINDALCO</t>
  </si>
  <si>
    <t>Hindalco Industries Ltd.</t>
  </si>
  <si>
    <t>HINDZINC</t>
  </si>
  <si>
    <t>Hindustan Zinc Ltd.</t>
  </si>
  <si>
    <t>JSWSTEEL</t>
  </si>
  <si>
    <t>JSW Steel Ltd.</t>
  </si>
  <si>
    <t>JINDALSTEL</t>
  </si>
  <si>
    <t>Jindal Steel &amp; Power Ltd.</t>
  </si>
  <si>
    <t>MOIL</t>
  </si>
  <si>
    <t>MOIL Ltd.</t>
  </si>
  <si>
    <t>NMDC</t>
  </si>
  <si>
    <t>NMDC Ltd.</t>
  </si>
  <si>
    <t>NATIONALUM</t>
  </si>
  <si>
    <t>National Aluminium Co. Ltd.</t>
  </si>
  <si>
    <t>RATNAMANI</t>
  </si>
  <si>
    <t>Ratnamani Metals &amp; Tubes Ltd.</t>
  </si>
  <si>
    <t>SAIL</t>
  </si>
  <si>
    <t>Steel Authority of India Ltd.</t>
  </si>
  <si>
    <t>TATASTEEL</t>
  </si>
  <si>
    <t>Tata Steel Ltd.</t>
  </si>
  <si>
    <t>VEDL</t>
  </si>
  <si>
    <t>Vedanta Ltd.</t>
  </si>
  <si>
    <t>WELCORP</t>
  </si>
  <si>
    <t>Welspun Corp Ltd.</t>
  </si>
  <si>
    <t>COFORGE</t>
  </si>
  <si>
    <t>Coforge Ltd.</t>
  </si>
  <si>
    <t>IT</t>
  </si>
  <si>
    <t>HCLTECH</t>
  </si>
  <si>
    <t>HCL Technologies Ltd.</t>
  </si>
  <si>
    <t>INFY</t>
  </si>
  <si>
    <t>Infosys Ltd.</t>
  </si>
  <si>
    <t>LTI</t>
  </si>
  <si>
    <t>Larsen &amp; Toubro Infotech Ltd.</t>
  </si>
  <si>
    <t>MINDTREE</t>
  </si>
  <si>
    <t>MindTree Ltd.</t>
  </si>
  <si>
    <t>MPHASIS</t>
  </si>
  <si>
    <t>MphasiS Ltd.</t>
  </si>
  <si>
    <t>OFSS</t>
  </si>
  <si>
    <t>Oracle Financial Services Software Ltd.</t>
  </si>
  <si>
    <t>TCS</t>
  </si>
  <si>
    <t>Tata Consultancy Services Ltd.</t>
  </si>
  <si>
    <t>TECHM</t>
  </si>
  <si>
    <t>Tech Mahindra Ltd.</t>
  </si>
  <si>
    <t>WIPRO</t>
  </si>
  <si>
    <t>Wipro Ltd.</t>
  </si>
  <si>
    <t>BHARATFORG</t>
  </si>
  <si>
    <t>Bharat Forge Ltd.</t>
  </si>
  <si>
    <t>INDUSTRIAL MANUFACTURING</t>
  </si>
  <si>
    <t>APOLLOHOSP</t>
  </si>
  <si>
    <t>Apollo Hospitals Enterprise Ltd.</t>
  </si>
  <si>
    <t>HEALTHCARE SERVICES</t>
  </si>
  <si>
    <t>LALPATHLAB</t>
  </si>
  <si>
    <t>Dr. Lal Path Labs Ltd.</t>
  </si>
  <si>
    <t>FORTIS</t>
  </si>
  <si>
    <t>Fortis Healthcare Ltd.</t>
  </si>
  <si>
    <t>AXISBANK</t>
  </si>
  <si>
    <t>Axis Bank Ltd.</t>
  </si>
  <si>
    <t>FINANCIAL SERVICES</t>
  </si>
  <si>
    <t>HDFCBANK</t>
  </si>
  <si>
    <t>HDFC Bank Ltd.</t>
  </si>
  <si>
    <t>ICICIBANK</t>
  </si>
  <si>
    <t>ICICI Bank Ltd.</t>
  </si>
  <si>
    <t>KOTAKBANK</t>
  </si>
  <si>
    <t>Kotak Mahindra Bank Ltd.</t>
  </si>
  <si>
    <t>BAJFINANCE</t>
  </si>
  <si>
    <t>Bajaj Finance Ltd.</t>
  </si>
  <si>
    <t>BAJAJFINSV</t>
  </si>
  <si>
    <t>Bajaj Finserv Ltd.</t>
  </si>
  <si>
    <t>CHOLAFIN</t>
  </si>
  <si>
    <t>Cholamandalam Investment and Finance Company Ltd.</t>
  </si>
  <si>
    <t>HDFCAMC</t>
  </si>
  <si>
    <t>HDFC Asset Management Company Ltd.</t>
  </si>
  <si>
    <t>HDFCLIFE</t>
  </si>
  <si>
    <t>HDFC Life Insurance Company Ltd.</t>
  </si>
  <si>
    <t>HDFC</t>
  </si>
  <si>
    <t>Housing Development Finance Corporation Ltd.</t>
  </si>
  <si>
    <t>ICICIGI</t>
  </si>
  <si>
    <t>ICICI Lombard General Insurance Company Ltd.</t>
  </si>
  <si>
    <t>ICICIPRULI</t>
  </si>
  <si>
    <t>ICICI Prudential Life Insurance Company Ltd.</t>
  </si>
  <si>
    <t>M&amp;MFIN</t>
  </si>
  <si>
    <t>Mahindra &amp; Mahindra Financial Services Ltd.</t>
  </si>
  <si>
    <t>MUTHOOTFIN</t>
  </si>
  <si>
    <t>Muthoot Finance Ltd.</t>
  </si>
  <si>
    <t>PEL</t>
  </si>
  <si>
    <t>Piramal Enterprises Ltd.</t>
  </si>
  <si>
    <t>SBILIFE</t>
  </si>
  <si>
    <t>SBI Life Insurance Company Ltd.</t>
  </si>
  <si>
    <t>SRTRANSFIN</t>
  </si>
  <si>
    <t>Shriram Transport Finance Co. Ltd.</t>
  </si>
  <si>
    <t>SBIN</t>
  </si>
  <si>
    <t>State Bank of India</t>
  </si>
  <si>
    <t>JUBLFOOD</t>
  </si>
  <si>
    <t>Jubilant Foodworks Ltd.</t>
  </si>
  <si>
    <t>CONSUMER SERVICES</t>
  </si>
  <si>
    <t>BRITANNIA</t>
  </si>
  <si>
    <t>Britannia Industries Ltd.</t>
  </si>
  <si>
    <t>CONSUMER GOODS</t>
  </si>
  <si>
    <t>COLPAL</t>
  </si>
  <si>
    <t>Colgate Palmolive (India) Ltd.</t>
  </si>
  <si>
    <t>DABUR</t>
  </si>
  <si>
    <t>Dabur India Ltd.</t>
  </si>
  <si>
    <t>EMAMILTD</t>
  </si>
  <si>
    <t>Emami Ltd.</t>
  </si>
  <si>
    <t>GODREJCP</t>
  </si>
  <si>
    <t>Godrej Consumer Products Ltd.</t>
  </si>
  <si>
    <t>HINDUNILVR</t>
  </si>
  <si>
    <t>Hindustan Unilever Ltd.</t>
  </si>
  <si>
    <t>ITC</t>
  </si>
  <si>
    <t>ITC Ltd.</t>
  </si>
  <si>
    <t>MARICO</t>
  </si>
  <si>
    <t>Marico Ltd.</t>
  </si>
  <si>
    <t>NESTLEIND</t>
  </si>
  <si>
    <t>Nestle India Ltd.</t>
  </si>
  <si>
    <t>PGHH</t>
  </si>
  <si>
    <t>Procter &amp; Gamble Hygiene &amp; Health Care Ltd.</t>
  </si>
  <si>
    <t>TATACONSUM</t>
  </si>
  <si>
    <t>Tata Consumer Products Ltd.</t>
  </si>
  <si>
    <t>UBL</t>
  </si>
  <si>
    <t>United Breweries Ltd.</t>
  </si>
  <si>
    <t>MCDOWELL-N</t>
  </si>
  <si>
    <t>United Spirits Ltd.</t>
  </si>
  <si>
    <t>VBL</t>
  </si>
  <si>
    <t>Varun Beverages Ltd.</t>
  </si>
  <si>
    <t>AMARAJABAT</t>
  </si>
  <si>
    <t>Amara Raja Batteries Ltd.</t>
  </si>
  <si>
    <t>AUTOMOBILE</t>
  </si>
  <si>
    <t>ASHOKLEY</t>
  </si>
  <si>
    <t>Ashok Leyland Ltd.</t>
  </si>
  <si>
    <t>BAJAJ-AUTO</t>
  </si>
  <si>
    <t>Bajaj Auto Ltd.</t>
  </si>
  <si>
    <t>BALKRISIND</t>
  </si>
  <si>
    <t>Balkrishna Industries Ltd.</t>
  </si>
  <si>
    <t>BOSCHLTD</t>
  </si>
  <si>
    <t>Bosch Ltd.</t>
  </si>
  <si>
    <t>EICHERMOT</t>
  </si>
  <si>
    <t>Eicher Motors Ltd.</t>
  </si>
  <si>
    <t>EXIDEIND</t>
  </si>
  <si>
    <t>Exide Industries Ltd.</t>
  </si>
  <si>
    <t>HEROMOTOCO</t>
  </si>
  <si>
    <t>Hero MotoCorp Ltd.</t>
  </si>
  <si>
    <t>MRF</t>
  </si>
  <si>
    <t>MRF Ltd.</t>
  </si>
  <si>
    <t>M&amp;M</t>
  </si>
  <si>
    <t>Mahindra &amp; Mahindra Ltd.</t>
  </si>
  <si>
    <t>MARUTI</t>
  </si>
  <si>
    <t>Maruti Suzuki India Ltd.</t>
  </si>
  <si>
    <t>MOTHERSUMI</t>
  </si>
  <si>
    <t>Motherson Sumi Systems Ltd.</t>
  </si>
  <si>
    <t>TVSMOTOR</t>
  </si>
  <si>
    <t>TVS Motor Company Ltd.</t>
  </si>
  <si>
    <t>TATAMOTORS</t>
  </si>
  <si>
    <t>Tata Motors Ltd.</t>
  </si>
  <si>
    <t>ADANIGREEN</t>
  </si>
  <si>
    <t>Adani green</t>
  </si>
  <si>
    <t>Ungrouped</t>
  </si>
  <si>
    <t>ABB</t>
  </si>
  <si>
    <t>BANARISUG</t>
  </si>
  <si>
    <t>Banari sugars</t>
  </si>
  <si>
    <t>ACC</t>
  </si>
  <si>
    <t>ACC cement</t>
  </si>
  <si>
    <t>AARTIIND</t>
  </si>
  <si>
    <t>Aarti Industries</t>
  </si>
  <si>
    <t>POWERINDIA</t>
  </si>
  <si>
    <t>ABB india power pro n sys inl ltd</t>
  </si>
  <si>
    <t>TVSSRICHAK</t>
  </si>
  <si>
    <t>TVS sri chakra</t>
  </si>
  <si>
    <t>WHIRLPOOL</t>
  </si>
  <si>
    <t>Whirlpool</t>
  </si>
  <si>
    <t>APOLLOPIPE</t>
  </si>
  <si>
    <t>Appollo pipe</t>
  </si>
  <si>
    <t>3MINDIA</t>
  </si>
  <si>
    <t>3M</t>
  </si>
  <si>
    <t>LT</t>
  </si>
  <si>
    <t>Larsen &amp; Tubro</t>
  </si>
  <si>
    <t>JSWENERGY-BE</t>
  </si>
  <si>
    <t>Jsw energy</t>
  </si>
  <si>
    <t>HAVELLS</t>
  </si>
  <si>
    <t>Havells india</t>
  </si>
  <si>
    <t>BAJAJELEC</t>
  </si>
  <si>
    <t>Bajaj elect ltd</t>
  </si>
  <si>
    <t>PERSISTENT</t>
  </si>
  <si>
    <t>persistent systems</t>
  </si>
  <si>
    <t>TATACOFFEE</t>
  </si>
  <si>
    <t>TATA COFFEE</t>
  </si>
  <si>
    <t>TATAINVEST</t>
  </si>
  <si>
    <t>TATASTLLP</t>
  </si>
  <si>
    <t>TATACHEM</t>
  </si>
  <si>
    <t>TATAMETALI</t>
  </si>
  <si>
    <t>TATACOMM</t>
  </si>
  <si>
    <t>GRASIM</t>
  </si>
  <si>
    <t>Grasim</t>
  </si>
  <si>
    <t>DMART</t>
  </si>
  <si>
    <t>TITAN</t>
  </si>
  <si>
    <t>BATAINDIA</t>
  </si>
  <si>
    <t>SYMPHONY</t>
  </si>
  <si>
    <t>symphony</t>
  </si>
  <si>
    <t>VTL</t>
  </si>
  <si>
    <t>FINNIFTY</t>
  </si>
  <si>
    <t>No</t>
  </si>
  <si>
    <t>nfo</t>
  </si>
  <si>
    <t>NIFTY FIN SERVICE</t>
  </si>
  <si>
    <t>NIFTY</t>
  </si>
  <si>
    <t>BANKNIFTY</t>
  </si>
  <si>
    <t>NIFTY BANK</t>
  </si>
  <si>
    <t>no. of instrument to trade and cap group</t>
  </si>
  <si>
    <t>cap</t>
  </si>
  <si>
    <t>minimum_quantity_of_stocks_to_buy</t>
  </si>
  <si>
    <t>maximum_quantity_of_stocks_to_buy</t>
  </si>
  <si>
    <t>lower_price_limit</t>
  </si>
  <si>
    <t>upper_price_limit</t>
  </si>
  <si>
    <t>preference</t>
  </si>
  <si>
    <t>tradable</t>
  </si>
  <si>
    <t>low</t>
  </si>
  <si>
    <t>mid</t>
  </si>
  <si>
    <t>high</t>
  </si>
  <si>
    <t>no. instruments to trade :</t>
  </si>
  <si>
    <t>Percentage capital to use :</t>
  </si>
  <si>
    <t>Debounce counter threshold:</t>
  </si>
  <si>
    <t>margin per stock :</t>
  </si>
  <si>
    <t>live balance lower limit :</t>
  </si>
  <si>
    <t>last_token_update:</t>
  </si>
  <si>
    <t>Capital_share</t>
  </si>
  <si>
    <t>Max_capital_CE</t>
  </si>
  <si>
    <t>Max_capital_PE</t>
  </si>
  <si>
    <t>Max_lots_per_order</t>
  </si>
  <si>
    <t>PE_buy</t>
  </si>
  <si>
    <t>delta_limit_CE</t>
  </si>
  <si>
    <t>delta_limit_PE</t>
  </si>
  <si>
    <t>delta_long</t>
  </si>
  <si>
    <t>Delta_strike</t>
  </si>
  <si>
    <t>Gap_allocation</t>
  </si>
  <si>
    <t>Hedge_points_CE</t>
  </si>
  <si>
    <t>Hedge_points_PE</t>
  </si>
  <si>
    <t>Strike_dist_CE</t>
  </si>
  <si>
    <t>Strike_dist_PE</t>
  </si>
  <si>
    <t>Sl_update_points</t>
  </si>
  <si>
    <t>Stoploss_percent</t>
  </si>
  <si>
    <t>Gap_down_limit</t>
  </si>
  <si>
    <t>Multiplier</t>
  </si>
  <si>
    <t>Strike_resolution</t>
  </si>
  <si>
    <t>Scan_window</t>
  </si>
  <si>
    <t>CRUDEOILM</t>
  </si>
  <si>
    <t>NATGASMINI</t>
  </si>
  <si>
    <t>CompanyName</t>
  </si>
  <si>
    <t>Exchange_type</t>
  </si>
  <si>
    <t>mcx</t>
  </si>
  <si>
    <t>minimum_lots_to_buy</t>
  </si>
  <si>
    <t>maximum_lots_to_buy</t>
  </si>
  <si>
    <t>monthly_futures</t>
  </si>
  <si>
    <t>monthly_options</t>
  </si>
  <si>
    <t>weekely_options</t>
  </si>
  <si>
    <t>2025-12-09 08:21:27.479266</t>
  </si>
  <si>
    <t>pending buy or sell order counter:</t>
  </si>
  <si>
    <t>Stop loss percentage:</t>
  </si>
  <si>
    <t>Buy_TTL_value</t>
  </si>
  <si>
    <t>Sell_TTL_value</t>
  </si>
  <si>
    <t>Strike_choice_CE</t>
  </si>
  <si>
    <t>OTM</t>
  </si>
  <si>
    <t>Strike_choice_PE</t>
  </si>
  <si>
    <t>ATM</t>
  </si>
  <si>
    <t>hedge counter</t>
  </si>
  <si>
    <t>capital_allowed</t>
  </si>
  <si>
    <t>stoploss counter</t>
  </si>
  <si>
    <t>price</t>
  </si>
  <si>
    <t>Open</t>
  </si>
  <si>
    <t>Closed</t>
  </si>
  <si>
    <t>Friday</t>
  </si>
  <si>
    <t>Monday</t>
  </si>
  <si>
    <t>Thursday</t>
  </si>
  <si>
    <t>Tuesday</t>
  </si>
  <si>
    <t>New Year Day</t>
  </si>
  <si>
    <t>Shri Ram Navmi</t>
  </si>
  <si>
    <t>Shri Mahavir Jayanti</t>
  </si>
  <si>
    <t>Dr. Baba Saheb Ambedkar Jayanti</t>
  </si>
  <si>
    <t>Maharashtra Day</t>
  </si>
  <si>
    <t>Bakri Id</t>
  </si>
  <si>
    <t>Moharram</t>
  </si>
  <si>
    <t>Ganesh Chaturthi</t>
  </si>
  <si>
    <t>Dassera</t>
  </si>
  <si>
    <t>Diwali-Balipratipada</t>
  </si>
  <si>
    <t>Guru Nanak Jayanti</t>
  </si>
  <si>
    <t>Date</t>
  </si>
  <si>
    <t>Republic Day</t>
  </si>
  <si>
    <t>Good Friday</t>
  </si>
  <si>
    <t>Mahatma Gandhi Jayanti</t>
  </si>
  <si>
    <t>Day</t>
  </si>
  <si>
    <t>Holiday</t>
  </si>
  <si>
    <t>Holi (2nd day)</t>
  </si>
  <si>
    <t>Christmas</t>
  </si>
  <si>
    <t>Exchange</t>
  </si>
  <si>
    <t>MCX</t>
  </si>
  <si>
    <t>Evening_session</t>
  </si>
  <si>
    <t>Morning_session</t>
  </si>
  <si>
    <t>GOLDM</t>
  </si>
  <si>
    <t>SILVERM</t>
  </si>
  <si>
    <t>NATURALGAS</t>
  </si>
  <si>
    <t>SENSEX</t>
  </si>
  <si>
    <t>bfo</t>
  </si>
  <si>
    <t>RIL</t>
  </si>
  <si>
    <t>Cap_info</t>
  </si>
  <si>
    <t>Stoploss</t>
  </si>
  <si>
    <t>der_price</t>
  </si>
  <si>
    <t>SBI</t>
  </si>
  <si>
    <t>price_per_lot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</si>
</sst>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C9211E"/>
      <name val="Calibri"/>
      <family val="2"/>
      <charset val="1"/>
    </font>
    <font>
      <b/>
      <sz val="11"/>
      <color rgb="FFFF4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C9211E"/>
      <name val="Calibri"/>
      <family val="2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7" fillId="0" borderId="0" xfId="0" applyFont="1"/>
    <xf numFmtId="14" fontId="0" fillId="0" borderId="0" xfId="0" applyNumberFormat="1"/>
    <xf numFmtId="0" fontId="9" fillId="0" borderId="0" xfId="0" applyFont="1"/>
    <xf numFmtId="0" fontId="1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4"/>
  <sheetViews>
    <sheetView zoomScaleNormal="100" workbookViewId="0">
      <pane ySplit="1" topLeftCell="A13" activePane="bottomLeft" state="frozen"/>
      <selection pane="bottomLeft" activeCell="B33" sqref="B33"/>
    </sheetView>
  </sheetViews>
  <sheetFormatPr defaultColWidth="8.6640625" defaultRowHeight="14.25" customHeight="1" x14ac:dyDescent="0.3"/>
  <cols>
    <col min="1" max="1" width="17.33203125" style="1" customWidth="1"/>
    <col min="2" max="2" width="20.5546875" style="1" customWidth="1"/>
    <col min="3" max="3" width="39.109375" style="1" customWidth="1"/>
    <col min="4" max="4" width="19.44140625" style="1" customWidth="1"/>
    <col min="5" max="5" width="15" style="1" customWidth="1"/>
    <col min="6" max="6" width="14.88671875" style="1" customWidth="1"/>
    <col min="7" max="7" width="16" style="1" customWidth="1"/>
    <col min="8" max="8" width="9.5546875" style="1" customWidth="1"/>
  </cols>
  <sheetData>
    <row r="1" spans="1:9" ht="13.5" customHeight="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3.5" customHeight="1" x14ac:dyDescent="0.3"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13</v>
      </c>
    </row>
    <row r="3" spans="1:9" ht="13.5" customHeight="1" x14ac:dyDescent="0.3">
      <c r="B3" t="s">
        <v>14</v>
      </c>
      <c r="C3" t="s">
        <v>15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13</v>
      </c>
    </row>
    <row r="4" spans="1:9" ht="13.5" customHeight="1" x14ac:dyDescent="0.3">
      <c r="B4" t="s">
        <v>16</v>
      </c>
      <c r="C4" t="s">
        <v>17</v>
      </c>
      <c r="D4" t="s">
        <v>10</v>
      </c>
      <c r="E4" t="s">
        <v>11</v>
      </c>
      <c r="F4" t="s">
        <v>11</v>
      </c>
      <c r="G4" t="s">
        <v>12</v>
      </c>
      <c r="H4" t="s">
        <v>13</v>
      </c>
      <c r="I4" t="s">
        <v>13</v>
      </c>
    </row>
    <row r="5" spans="1:9" ht="13.5" customHeight="1" x14ac:dyDescent="0.3">
      <c r="B5" t="s">
        <v>18</v>
      </c>
      <c r="C5" t="s">
        <v>19</v>
      </c>
      <c r="D5" t="s">
        <v>10</v>
      </c>
      <c r="E5" t="s">
        <v>11</v>
      </c>
      <c r="F5" t="s">
        <v>11</v>
      </c>
      <c r="G5" t="s">
        <v>12</v>
      </c>
      <c r="H5" t="s">
        <v>13</v>
      </c>
      <c r="I5" t="s">
        <v>13</v>
      </c>
    </row>
    <row r="6" spans="1:9" ht="13.5" customHeight="1" x14ac:dyDescent="0.3">
      <c r="B6" t="s">
        <v>20</v>
      </c>
      <c r="C6" t="s">
        <v>21</v>
      </c>
      <c r="D6" t="s">
        <v>10</v>
      </c>
      <c r="E6" t="s">
        <v>11</v>
      </c>
      <c r="F6" t="s">
        <v>11</v>
      </c>
      <c r="G6" t="s">
        <v>12</v>
      </c>
      <c r="H6" t="s">
        <v>13</v>
      </c>
      <c r="I6" t="s">
        <v>13</v>
      </c>
    </row>
    <row r="7" spans="1:9" ht="13.5" customHeight="1" x14ac:dyDescent="0.3">
      <c r="B7" t="s">
        <v>22</v>
      </c>
      <c r="C7" t="s">
        <v>23</v>
      </c>
      <c r="D7" t="s">
        <v>10</v>
      </c>
      <c r="E7" t="s">
        <v>11</v>
      </c>
      <c r="F7" t="s">
        <v>11</v>
      </c>
      <c r="G7" t="s">
        <v>12</v>
      </c>
      <c r="H7" t="s">
        <v>13</v>
      </c>
      <c r="I7" t="s">
        <v>13</v>
      </c>
    </row>
    <row r="8" spans="1:9" ht="13.5" customHeight="1" x14ac:dyDescent="0.3">
      <c r="B8" t="s">
        <v>24</v>
      </c>
      <c r="C8" t="s">
        <v>25</v>
      </c>
      <c r="D8" t="s">
        <v>10</v>
      </c>
      <c r="E8" t="s">
        <v>11</v>
      </c>
      <c r="F8" t="s">
        <v>11</v>
      </c>
      <c r="G8" t="s">
        <v>12</v>
      </c>
      <c r="H8" t="s">
        <v>13</v>
      </c>
      <c r="I8" t="s">
        <v>13</v>
      </c>
    </row>
    <row r="9" spans="1:9" ht="13.5" customHeight="1" x14ac:dyDescent="0.3">
      <c r="B9" t="s">
        <v>26</v>
      </c>
      <c r="C9" t="s">
        <v>27</v>
      </c>
      <c r="D9" t="s">
        <v>10</v>
      </c>
      <c r="E9" t="s">
        <v>11</v>
      </c>
      <c r="F9" t="s">
        <v>11</v>
      </c>
      <c r="G9" t="s">
        <v>12</v>
      </c>
      <c r="H9" t="s">
        <v>13</v>
      </c>
      <c r="I9" t="s">
        <v>13</v>
      </c>
    </row>
    <row r="10" spans="1:9" ht="13.5" customHeight="1" x14ac:dyDescent="0.3">
      <c r="B10" t="s">
        <v>28</v>
      </c>
      <c r="C10" t="s">
        <v>29</v>
      </c>
      <c r="D10" t="s">
        <v>10</v>
      </c>
      <c r="E10" t="s">
        <v>11</v>
      </c>
      <c r="F10" t="s">
        <v>11</v>
      </c>
      <c r="G10" t="s">
        <v>12</v>
      </c>
      <c r="H10" t="s">
        <v>13</v>
      </c>
      <c r="I10" t="s">
        <v>13</v>
      </c>
    </row>
    <row r="11" spans="1:9" ht="13.5" customHeight="1" x14ac:dyDescent="0.3">
      <c r="B11" t="s">
        <v>30</v>
      </c>
      <c r="C11" t="s">
        <v>31</v>
      </c>
      <c r="D11" t="s">
        <v>10</v>
      </c>
      <c r="E11" t="s">
        <v>11</v>
      </c>
      <c r="F11" t="s">
        <v>11</v>
      </c>
      <c r="G11" t="s">
        <v>12</v>
      </c>
      <c r="H11" t="s">
        <v>13</v>
      </c>
      <c r="I11" t="s">
        <v>13</v>
      </c>
    </row>
    <row r="12" spans="1:9" ht="13.5" customHeight="1" x14ac:dyDescent="0.3">
      <c r="B12" t="s">
        <v>32</v>
      </c>
      <c r="C12" t="s">
        <v>33</v>
      </c>
      <c r="D12" t="s">
        <v>10</v>
      </c>
      <c r="E12" t="s">
        <v>11</v>
      </c>
      <c r="F12" t="s">
        <v>11</v>
      </c>
      <c r="G12" t="s">
        <v>12</v>
      </c>
      <c r="H12" t="s">
        <v>13</v>
      </c>
      <c r="I12" t="s">
        <v>13</v>
      </c>
    </row>
    <row r="13" spans="1:9" ht="13.5" customHeight="1" x14ac:dyDescent="0.3">
      <c r="B13" t="s">
        <v>34</v>
      </c>
      <c r="C13" t="s">
        <v>35</v>
      </c>
      <c r="D13" t="s">
        <v>10</v>
      </c>
      <c r="E13" t="s">
        <v>11</v>
      </c>
      <c r="F13" t="s">
        <v>11</v>
      </c>
      <c r="G13" t="s">
        <v>12</v>
      </c>
      <c r="H13" t="s">
        <v>13</v>
      </c>
      <c r="I13" t="s">
        <v>13</v>
      </c>
    </row>
    <row r="14" spans="1:9" ht="13.5" customHeight="1" x14ac:dyDescent="0.3">
      <c r="B14" t="s">
        <v>36</v>
      </c>
      <c r="C14" t="s">
        <v>37</v>
      </c>
      <c r="D14" t="s">
        <v>10</v>
      </c>
      <c r="E14" t="s">
        <v>11</v>
      </c>
      <c r="F14" t="s">
        <v>11</v>
      </c>
      <c r="G14" t="s">
        <v>12</v>
      </c>
      <c r="H14" t="s">
        <v>13</v>
      </c>
      <c r="I14" t="s">
        <v>13</v>
      </c>
    </row>
    <row r="15" spans="1:9" ht="13.5" customHeight="1" x14ac:dyDescent="0.3">
      <c r="B15" t="s">
        <v>38</v>
      </c>
      <c r="C15" t="s">
        <v>39</v>
      </c>
      <c r="D15" t="s">
        <v>10</v>
      </c>
      <c r="E15" t="s">
        <v>11</v>
      </c>
      <c r="F15" t="s">
        <v>11</v>
      </c>
      <c r="G15" t="s">
        <v>12</v>
      </c>
      <c r="H15" t="s">
        <v>13</v>
      </c>
      <c r="I15" t="s">
        <v>13</v>
      </c>
    </row>
    <row r="16" spans="1:9" ht="13.5" customHeight="1" x14ac:dyDescent="0.3">
      <c r="B16" t="s">
        <v>40</v>
      </c>
      <c r="C16" t="s">
        <v>41</v>
      </c>
      <c r="D16" t="s">
        <v>10</v>
      </c>
      <c r="E16" t="s">
        <v>11</v>
      </c>
      <c r="F16" t="s">
        <v>11</v>
      </c>
      <c r="G16" t="s">
        <v>12</v>
      </c>
      <c r="H16" t="s">
        <v>13</v>
      </c>
      <c r="I16" t="s">
        <v>13</v>
      </c>
    </row>
    <row r="17" spans="2:9" ht="13.5" customHeight="1" x14ac:dyDescent="0.3">
      <c r="B17" t="s">
        <v>42</v>
      </c>
      <c r="C17" t="s">
        <v>43</v>
      </c>
      <c r="D17" t="s">
        <v>10</v>
      </c>
      <c r="E17" t="s">
        <v>11</v>
      </c>
      <c r="F17" t="s">
        <v>11</v>
      </c>
      <c r="G17" t="s">
        <v>12</v>
      </c>
      <c r="H17" t="s">
        <v>13</v>
      </c>
      <c r="I17" t="s">
        <v>13</v>
      </c>
    </row>
    <row r="18" spans="2:9" ht="13.5" customHeight="1" x14ac:dyDescent="0.3">
      <c r="B18" t="s">
        <v>44</v>
      </c>
      <c r="C18" t="s">
        <v>45</v>
      </c>
      <c r="D18" t="s">
        <v>10</v>
      </c>
      <c r="E18" t="s">
        <v>11</v>
      </c>
      <c r="F18" t="s">
        <v>11</v>
      </c>
      <c r="G18" t="s">
        <v>12</v>
      </c>
      <c r="H18" t="s">
        <v>13</v>
      </c>
      <c r="I18" t="s">
        <v>13</v>
      </c>
    </row>
    <row r="19" spans="2:9" ht="13.5" customHeight="1" x14ac:dyDescent="0.3">
      <c r="B19" t="s">
        <v>46</v>
      </c>
      <c r="C19" t="s">
        <v>47</v>
      </c>
      <c r="D19" t="s">
        <v>48</v>
      </c>
      <c r="E19" t="s">
        <v>11</v>
      </c>
      <c r="F19" t="s">
        <v>11</v>
      </c>
      <c r="G19" t="s">
        <v>12</v>
      </c>
      <c r="H19" t="s">
        <v>13</v>
      </c>
      <c r="I19" t="s">
        <v>13</v>
      </c>
    </row>
    <row r="20" spans="2:9" ht="13.5" customHeight="1" x14ac:dyDescent="0.3">
      <c r="B20" t="s">
        <v>49</v>
      </c>
      <c r="C20" t="s">
        <v>50</v>
      </c>
      <c r="D20" t="s">
        <v>48</v>
      </c>
      <c r="E20" t="s">
        <v>11</v>
      </c>
      <c r="F20" t="s">
        <v>11</v>
      </c>
      <c r="G20" t="s">
        <v>12</v>
      </c>
      <c r="H20" t="s">
        <v>13</v>
      </c>
      <c r="I20" t="s">
        <v>13</v>
      </c>
    </row>
    <row r="21" spans="2:9" ht="13.5" customHeight="1" x14ac:dyDescent="0.3">
      <c r="B21" t="s">
        <v>51</v>
      </c>
      <c r="C21" t="s">
        <v>52</v>
      </c>
      <c r="D21" t="s">
        <v>48</v>
      </c>
      <c r="E21" t="s">
        <v>11</v>
      </c>
      <c r="F21" t="s">
        <v>11</v>
      </c>
      <c r="G21" t="s">
        <v>12</v>
      </c>
      <c r="H21" t="s">
        <v>13</v>
      </c>
      <c r="I21" t="s">
        <v>13</v>
      </c>
    </row>
    <row r="22" spans="2:9" ht="13.5" customHeight="1" x14ac:dyDescent="0.3">
      <c r="B22" t="s">
        <v>53</v>
      </c>
      <c r="C22" t="s">
        <v>54</v>
      </c>
      <c r="D22" t="s">
        <v>48</v>
      </c>
      <c r="E22" t="s">
        <v>11</v>
      </c>
      <c r="F22" t="s">
        <v>11</v>
      </c>
      <c r="G22" t="s">
        <v>12</v>
      </c>
      <c r="H22" t="s">
        <v>13</v>
      </c>
      <c r="I22" t="s">
        <v>13</v>
      </c>
    </row>
    <row r="23" spans="2:9" ht="13.5" customHeight="1" x14ac:dyDescent="0.3">
      <c r="B23" t="s">
        <v>55</v>
      </c>
      <c r="C23" t="s">
        <v>56</v>
      </c>
      <c r="D23" t="s">
        <v>48</v>
      </c>
      <c r="E23" t="s">
        <v>11</v>
      </c>
      <c r="F23" t="s">
        <v>11</v>
      </c>
      <c r="G23" t="s">
        <v>12</v>
      </c>
      <c r="H23" t="s">
        <v>13</v>
      </c>
      <c r="I23" t="s">
        <v>13</v>
      </c>
    </row>
    <row r="24" spans="2:9" ht="13.5" customHeight="1" x14ac:dyDescent="0.3">
      <c r="B24" t="s">
        <v>57</v>
      </c>
      <c r="C24" t="s">
        <v>58</v>
      </c>
      <c r="D24" t="s">
        <v>48</v>
      </c>
      <c r="E24" t="s">
        <v>11</v>
      </c>
      <c r="F24" t="s">
        <v>11</v>
      </c>
      <c r="G24" t="s">
        <v>12</v>
      </c>
      <c r="H24" t="s">
        <v>13</v>
      </c>
      <c r="I24" t="s">
        <v>13</v>
      </c>
    </row>
    <row r="25" spans="2:9" ht="13.5" customHeight="1" x14ac:dyDescent="0.3">
      <c r="B25" t="s">
        <v>59</v>
      </c>
      <c r="C25" t="s">
        <v>60</v>
      </c>
      <c r="D25" t="s">
        <v>48</v>
      </c>
      <c r="E25" t="s">
        <v>11</v>
      </c>
      <c r="F25" t="s">
        <v>11</v>
      </c>
      <c r="G25" t="s">
        <v>12</v>
      </c>
      <c r="H25" t="s">
        <v>13</v>
      </c>
      <c r="I25" t="s">
        <v>13</v>
      </c>
    </row>
    <row r="26" spans="2:9" ht="13.5" customHeight="1" x14ac:dyDescent="0.3">
      <c r="B26" t="s">
        <v>61</v>
      </c>
      <c r="C26" t="s">
        <v>62</v>
      </c>
      <c r="D26" t="s">
        <v>48</v>
      </c>
      <c r="E26" t="s">
        <v>11</v>
      </c>
      <c r="F26" t="s">
        <v>11</v>
      </c>
      <c r="G26" t="s">
        <v>12</v>
      </c>
      <c r="H26" t="s">
        <v>13</v>
      </c>
      <c r="I26" t="s">
        <v>13</v>
      </c>
    </row>
    <row r="27" spans="2:9" ht="13.5" customHeight="1" x14ac:dyDescent="0.3">
      <c r="B27" t="s">
        <v>63</v>
      </c>
      <c r="C27" t="s">
        <v>64</v>
      </c>
      <c r="D27" t="s">
        <v>48</v>
      </c>
      <c r="E27" t="s">
        <v>11</v>
      </c>
      <c r="F27" t="s">
        <v>11</v>
      </c>
      <c r="G27" t="s">
        <v>12</v>
      </c>
      <c r="H27" t="s">
        <v>13</v>
      </c>
      <c r="I27" t="s">
        <v>13</v>
      </c>
    </row>
    <row r="28" spans="2:9" ht="13.5" customHeight="1" x14ac:dyDescent="0.3">
      <c r="B28" t="s">
        <v>65</v>
      </c>
      <c r="C28" t="s">
        <v>66</v>
      </c>
      <c r="D28" t="s">
        <v>48</v>
      </c>
      <c r="E28" t="s">
        <v>11</v>
      </c>
      <c r="F28" t="s">
        <v>11</v>
      </c>
      <c r="G28" t="s">
        <v>12</v>
      </c>
      <c r="H28" t="s">
        <v>13</v>
      </c>
      <c r="I28" t="s">
        <v>13</v>
      </c>
    </row>
    <row r="29" spans="2:9" ht="13.5" customHeight="1" x14ac:dyDescent="0.3">
      <c r="B29" t="s">
        <v>67</v>
      </c>
      <c r="C29" t="s">
        <v>68</v>
      </c>
      <c r="D29" t="s">
        <v>48</v>
      </c>
      <c r="E29" t="s">
        <v>11</v>
      </c>
      <c r="F29" t="s">
        <v>11</v>
      </c>
      <c r="G29" t="s">
        <v>12</v>
      </c>
      <c r="H29" t="s">
        <v>13</v>
      </c>
      <c r="I29" t="s">
        <v>13</v>
      </c>
    </row>
    <row r="30" spans="2:9" ht="13.5" customHeight="1" x14ac:dyDescent="0.3">
      <c r="B30" t="s">
        <v>69</v>
      </c>
      <c r="C30" t="s">
        <v>70</v>
      </c>
      <c r="D30" t="s">
        <v>48</v>
      </c>
      <c r="E30" t="s">
        <v>11</v>
      </c>
      <c r="F30" t="s">
        <v>11</v>
      </c>
      <c r="G30" t="s">
        <v>12</v>
      </c>
      <c r="H30" t="s">
        <v>13</v>
      </c>
      <c r="I30" t="s">
        <v>13</v>
      </c>
    </row>
    <row r="31" spans="2:9" ht="13.5" customHeight="1" x14ac:dyDescent="0.3">
      <c r="B31" t="s">
        <v>71</v>
      </c>
      <c r="C31" t="s">
        <v>72</v>
      </c>
      <c r="D31" t="s">
        <v>48</v>
      </c>
      <c r="E31" t="s">
        <v>11</v>
      </c>
      <c r="F31" t="s">
        <v>11</v>
      </c>
      <c r="G31" t="s">
        <v>12</v>
      </c>
      <c r="H31" t="s">
        <v>13</v>
      </c>
      <c r="I31" t="s">
        <v>13</v>
      </c>
    </row>
    <row r="32" spans="2:9" ht="13.5" customHeight="1" x14ac:dyDescent="0.3">
      <c r="B32" t="s">
        <v>73</v>
      </c>
      <c r="C32" t="s">
        <v>74</v>
      </c>
      <c r="D32" t="s">
        <v>48</v>
      </c>
      <c r="E32" t="s">
        <v>11</v>
      </c>
      <c r="F32" t="s">
        <v>11</v>
      </c>
      <c r="G32" t="s">
        <v>12</v>
      </c>
      <c r="H32" t="s">
        <v>13</v>
      </c>
      <c r="I32" t="s">
        <v>13</v>
      </c>
    </row>
    <row r="33" spans="2:9" ht="13.5" customHeight="1" x14ac:dyDescent="0.3">
      <c r="B33" t="s">
        <v>75</v>
      </c>
      <c r="C33" t="s">
        <v>76</v>
      </c>
      <c r="D33" t="s">
        <v>48</v>
      </c>
      <c r="E33" t="s">
        <v>11</v>
      </c>
      <c r="F33" t="s">
        <v>11</v>
      </c>
      <c r="G33" t="s">
        <v>12</v>
      </c>
      <c r="H33" t="s">
        <v>13</v>
      </c>
      <c r="I33" t="s">
        <v>13</v>
      </c>
    </row>
    <row r="34" spans="2:9" ht="13.5" customHeight="1" x14ac:dyDescent="0.3">
      <c r="B34" t="s">
        <v>77</v>
      </c>
      <c r="C34" t="s">
        <v>78</v>
      </c>
      <c r="D34" t="s">
        <v>79</v>
      </c>
      <c r="E34" t="s">
        <v>11</v>
      </c>
      <c r="F34" t="s">
        <v>11</v>
      </c>
      <c r="G34" t="s">
        <v>12</v>
      </c>
      <c r="H34" t="s">
        <v>13</v>
      </c>
      <c r="I34" t="s">
        <v>13</v>
      </c>
    </row>
    <row r="35" spans="2:9" ht="13.5" customHeight="1" x14ac:dyDescent="0.3">
      <c r="B35" t="s">
        <v>80</v>
      </c>
      <c r="C35" t="s">
        <v>81</v>
      </c>
      <c r="D35" t="s">
        <v>79</v>
      </c>
      <c r="E35" t="s">
        <v>11</v>
      </c>
      <c r="F35" t="s">
        <v>11</v>
      </c>
      <c r="G35" t="s">
        <v>12</v>
      </c>
      <c r="H35" t="s">
        <v>13</v>
      </c>
      <c r="I35" t="s">
        <v>13</v>
      </c>
    </row>
    <row r="36" spans="2:9" ht="13.5" customHeight="1" x14ac:dyDescent="0.3">
      <c r="B36" t="s">
        <v>82</v>
      </c>
      <c r="C36" t="s">
        <v>83</v>
      </c>
      <c r="D36" t="s">
        <v>79</v>
      </c>
      <c r="E36" t="s">
        <v>11</v>
      </c>
      <c r="F36" t="s">
        <v>11</v>
      </c>
      <c r="G36" t="s">
        <v>12</v>
      </c>
      <c r="H36" t="s">
        <v>13</v>
      </c>
      <c r="I36" t="s">
        <v>13</v>
      </c>
    </row>
    <row r="37" spans="2:9" ht="13.5" customHeight="1" x14ac:dyDescent="0.3">
      <c r="B37" t="s">
        <v>84</v>
      </c>
      <c r="C37" t="s">
        <v>85</v>
      </c>
      <c r="D37" t="s">
        <v>79</v>
      </c>
      <c r="E37" t="s">
        <v>11</v>
      </c>
      <c r="F37" t="s">
        <v>11</v>
      </c>
      <c r="G37" t="s">
        <v>12</v>
      </c>
      <c r="H37" t="s">
        <v>13</v>
      </c>
      <c r="I37" t="s">
        <v>13</v>
      </c>
    </row>
    <row r="38" spans="2:9" ht="13.5" customHeight="1" x14ac:dyDescent="0.3">
      <c r="B38" t="s">
        <v>86</v>
      </c>
      <c r="C38" t="s">
        <v>87</v>
      </c>
      <c r="D38" t="s">
        <v>79</v>
      </c>
      <c r="E38" t="s">
        <v>11</v>
      </c>
      <c r="F38" t="s">
        <v>11</v>
      </c>
      <c r="G38" t="s">
        <v>12</v>
      </c>
      <c r="H38" t="s">
        <v>13</v>
      </c>
      <c r="I38" t="s">
        <v>13</v>
      </c>
    </row>
    <row r="39" spans="2:9" ht="13.5" customHeight="1" x14ac:dyDescent="0.3">
      <c r="B39" t="s">
        <v>88</v>
      </c>
      <c r="C39" t="s">
        <v>89</v>
      </c>
      <c r="D39" t="s">
        <v>79</v>
      </c>
      <c r="E39" t="s">
        <v>11</v>
      </c>
      <c r="F39" t="s">
        <v>11</v>
      </c>
      <c r="G39" t="s">
        <v>12</v>
      </c>
      <c r="H39" t="s">
        <v>13</v>
      </c>
      <c r="I39" t="s">
        <v>13</v>
      </c>
    </row>
    <row r="40" spans="2:9" ht="13.5" customHeight="1" x14ac:dyDescent="0.3">
      <c r="B40" t="s">
        <v>90</v>
      </c>
      <c r="C40" t="s">
        <v>91</v>
      </c>
      <c r="D40" t="s">
        <v>79</v>
      </c>
      <c r="E40" t="s">
        <v>11</v>
      </c>
      <c r="F40" t="s">
        <v>11</v>
      </c>
      <c r="G40" t="s">
        <v>12</v>
      </c>
      <c r="H40" t="s">
        <v>13</v>
      </c>
      <c r="I40" t="s">
        <v>13</v>
      </c>
    </row>
    <row r="41" spans="2:9" ht="13.5" customHeight="1" x14ac:dyDescent="0.3">
      <c r="B41" t="s">
        <v>92</v>
      </c>
      <c r="C41" t="s">
        <v>93</v>
      </c>
      <c r="D41" t="s">
        <v>79</v>
      </c>
      <c r="E41" t="s">
        <v>11</v>
      </c>
      <c r="F41" t="s">
        <v>11</v>
      </c>
      <c r="G41" t="s">
        <v>12</v>
      </c>
      <c r="H41" t="s">
        <v>13</v>
      </c>
      <c r="I41" t="s">
        <v>13</v>
      </c>
    </row>
    <row r="42" spans="2:9" ht="13.5" customHeight="1" x14ac:dyDescent="0.3">
      <c r="B42" t="s">
        <v>94</v>
      </c>
      <c r="C42" t="s">
        <v>95</v>
      </c>
      <c r="D42" t="s">
        <v>79</v>
      </c>
      <c r="E42" t="s">
        <v>11</v>
      </c>
      <c r="F42" t="s">
        <v>11</v>
      </c>
      <c r="G42" t="s">
        <v>12</v>
      </c>
      <c r="H42" t="s">
        <v>13</v>
      </c>
      <c r="I42" t="s">
        <v>13</v>
      </c>
    </row>
    <row r="43" spans="2:9" ht="13.5" customHeight="1" x14ac:dyDescent="0.3">
      <c r="B43" t="s">
        <v>96</v>
      </c>
      <c r="C43" t="s">
        <v>97</v>
      </c>
      <c r="D43" t="s">
        <v>79</v>
      </c>
      <c r="E43" t="s">
        <v>11</v>
      </c>
      <c r="F43" t="s">
        <v>11</v>
      </c>
      <c r="G43" t="s">
        <v>12</v>
      </c>
      <c r="H43" t="s">
        <v>13</v>
      </c>
      <c r="I43" t="s">
        <v>13</v>
      </c>
    </row>
    <row r="44" spans="2:9" ht="13.5" customHeight="1" x14ac:dyDescent="0.3">
      <c r="B44" t="s">
        <v>98</v>
      </c>
      <c r="C44" t="s">
        <v>99</v>
      </c>
      <c r="D44" t="s">
        <v>79</v>
      </c>
      <c r="E44" t="s">
        <v>11</v>
      </c>
      <c r="F44" t="s">
        <v>11</v>
      </c>
      <c r="G44" t="s">
        <v>12</v>
      </c>
      <c r="H44" t="s">
        <v>13</v>
      </c>
      <c r="I44" t="s">
        <v>13</v>
      </c>
    </row>
    <row r="45" spans="2:9" ht="13.5" customHeight="1" x14ac:dyDescent="0.3">
      <c r="B45" t="s">
        <v>100</v>
      </c>
      <c r="C45" t="s">
        <v>101</v>
      </c>
      <c r="D45" t="s">
        <v>79</v>
      </c>
      <c r="E45" t="s">
        <v>11</v>
      </c>
      <c r="F45" t="s">
        <v>11</v>
      </c>
      <c r="G45" t="s">
        <v>12</v>
      </c>
      <c r="H45" t="s">
        <v>13</v>
      </c>
      <c r="I45" t="s">
        <v>13</v>
      </c>
    </row>
    <row r="46" spans="2:9" ht="13.5" customHeight="1" x14ac:dyDescent="0.3">
      <c r="B46" t="s">
        <v>102</v>
      </c>
      <c r="C46" t="s">
        <v>103</v>
      </c>
      <c r="D46" t="s">
        <v>79</v>
      </c>
      <c r="E46" t="s">
        <v>11</v>
      </c>
      <c r="F46" t="s">
        <v>11</v>
      </c>
      <c r="G46" t="s">
        <v>12</v>
      </c>
      <c r="H46" t="s">
        <v>13</v>
      </c>
      <c r="I46" t="s">
        <v>13</v>
      </c>
    </row>
    <row r="47" spans="2:9" ht="13.5" customHeight="1" x14ac:dyDescent="0.3">
      <c r="B47" t="s">
        <v>104</v>
      </c>
      <c r="C47" t="s">
        <v>105</v>
      </c>
      <c r="D47" t="s">
        <v>79</v>
      </c>
      <c r="E47" t="s">
        <v>11</v>
      </c>
      <c r="F47" t="s">
        <v>11</v>
      </c>
      <c r="G47" t="s">
        <v>12</v>
      </c>
      <c r="H47" t="s">
        <v>13</v>
      </c>
      <c r="I47" t="s">
        <v>13</v>
      </c>
    </row>
    <row r="48" spans="2:9" ht="13.5" customHeight="1" x14ac:dyDescent="0.3">
      <c r="B48" t="s">
        <v>106</v>
      </c>
      <c r="C48" t="s">
        <v>107</v>
      </c>
      <c r="D48" t="s">
        <v>79</v>
      </c>
      <c r="E48" t="s">
        <v>11</v>
      </c>
      <c r="F48" t="s">
        <v>11</v>
      </c>
      <c r="G48" t="s">
        <v>12</v>
      </c>
      <c r="H48" t="s">
        <v>13</v>
      </c>
      <c r="I48" t="s">
        <v>13</v>
      </c>
    </row>
    <row r="49" spans="2:9" ht="13.5" customHeight="1" x14ac:dyDescent="0.3">
      <c r="B49" t="s">
        <v>108</v>
      </c>
      <c r="C49" t="s">
        <v>109</v>
      </c>
      <c r="D49" t="s">
        <v>110</v>
      </c>
      <c r="E49" t="s">
        <v>11</v>
      </c>
      <c r="F49" t="s">
        <v>11</v>
      </c>
      <c r="G49" t="s">
        <v>12</v>
      </c>
      <c r="H49" t="s">
        <v>13</v>
      </c>
      <c r="I49" t="s">
        <v>13</v>
      </c>
    </row>
    <row r="50" spans="2:9" ht="13.5" customHeight="1" x14ac:dyDescent="0.3">
      <c r="B50" t="s">
        <v>111</v>
      </c>
      <c r="C50" t="s">
        <v>112</v>
      </c>
      <c r="D50" t="s">
        <v>110</v>
      </c>
      <c r="E50" t="s">
        <v>11</v>
      </c>
      <c r="F50" t="s">
        <v>11</v>
      </c>
      <c r="G50" t="s">
        <v>12</v>
      </c>
      <c r="H50" t="s">
        <v>13</v>
      </c>
      <c r="I50" t="s">
        <v>13</v>
      </c>
    </row>
    <row r="51" spans="2:9" ht="13.5" customHeight="1" x14ac:dyDescent="0.3">
      <c r="B51" t="s">
        <v>113</v>
      </c>
      <c r="C51" t="s">
        <v>114</v>
      </c>
      <c r="D51" t="s">
        <v>110</v>
      </c>
      <c r="E51" t="s">
        <v>11</v>
      </c>
      <c r="F51" t="s">
        <v>11</v>
      </c>
      <c r="G51" t="s">
        <v>12</v>
      </c>
      <c r="H51" t="s">
        <v>13</v>
      </c>
      <c r="I51" t="s">
        <v>13</v>
      </c>
    </row>
    <row r="52" spans="2:9" ht="13.5" customHeight="1" x14ac:dyDescent="0.3">
      <c r="B52" t="s">
        <v>115</v>
      </c>
      <c r="C52" t="s">
        <v>116</v>
      </c>
      <c r="D52" t="s">
        <v>110</v>
      </c>
      <c r="E52" t="s">
        <v>11</v>
      </c>
      <c r="F52" t="s">
        <v>11</v>
      </c>
      <c r="G52" t="s">
        <v>12</v>
      </c>
      <c r="H52" t="s">
        <v>13</v>
      </c>
      <c r="I52" t="s">
        <v>13</v>
      </c>
    </row>
    <row r="53" spans="2:9" ht="13.5" customHeight="1" x14ac:dyDescent="0.3">
      <c r="B53" t="s">
        <v>117</v>
      </c>
      <c r="C53" t="s">
        <v>118</v>
      </c>
      <c r="D53" t="s">
        <v>110</v>
      </c>
      <c r="E53" t="s">
        <v>11</v>
      </c>
      <c r="F53" t="s">
        <v>11</v>
      </c>
      <c r="G53" t="s">
        <v>12</v>
      </c>
      <c r="H53" t="s">
        <v>13</v>
      </c>
      <c r="I53" t="s">
        <v>13</v>
      </c>
    </row>
    <row r="54" spans="2:9" ht="13.5" customHeight="1" x14ac:dyDescent="0.3">
      <c r="B54" t="s">
        <v>119</v>
      </c>
      <c r="C54" t="s">
        <v>120</v>
      </c>
      <c r="D54" t="s">
        <v>110</v>
      </c>
      <c r="E54" t="s">
        <v>11</v>
      </c>
      <c r="F54" t="s">
        <v>11</v>
      </c>
      <c r="G54" t="s">
        <v>12</v>
      </c>
      <c r="H54" t="s">
        <v>13</v>
      </c>
      <c r="I54" t="s">
        <v>13</v>
      </c>
    </row>
    <row r="55" spans="2:9" ht="13.5" customHeight="1" x14ac:dyDescent="0.3">
      <c r="B55" t="s">
        <v>121</v>
      </c>
      <c r="C55" t="s">
        <v>122</v>
      </c>
      <c r="D55" t="s">
        <v>110</v>
      </c>
      <c r="E55" t="s">
        <v>11</v>
      </c>
      <c r="F55" t="s">
        <v>11</v>
      </c>
      <c r="G55" t="s">
        <v>12</v>
      </c>
      <c r="H55" t="s">
        <v>13</v>
      </c>
      <c r="I55" t="s">
        <v>13</v>
      </c>
    </row>
    <row r="56" spans="2:9" ht="13.5" customHeight="1" x14ac:dyDescent="0.3">
      <c r="B56" t="s">
        <v>123</v>
      </c>
      <c r="C56" t="s">
        <v>124</v>
      </c>
      <c r="D56" t="s">
        <v>110</v>
      </c>
      <c r="E56" t="s">
        <v>11</v>
      </c>
      <c r="F56" t="s">
        <v>11</v>
      </c>
      <c r="G56" t="s">
        <v>12</v>
      </c>
      <c r="H56" t="s">
        <v>13</v>
      </c>
      <c r="I56" t="s">
        <v>13</v>
      </c>
    </row>
    <row r="57" spans="2:9" ht="13.5" customHeight="1" x14ac:dyDescent="0.3">
      <c r="B57" t="s">
        <v>125</v>
      </c>
      <c r="C57" t="s">
        <v>126</v>
      </c>
      <c r="D57" t="s">
        <v>110</v>
      </c>
      <c r="E57" t="s">
        <v>11</v>
      </c>
      <c r="F57" t="s">
        <v>11</v>
      </c>
      <c r="G57" t="s">
        <v>12</v>
      </c>
      <c r="H57" t="s">
        <v>13</v>
      </c>
      <c r="I57" t="s">
        <v>13</v>
      </c>
    </row>
    <row r="58" spans="2:9" ht="13.5" customHeight="1" x14ac:dyDescent="0.3">
      <c r="B58" t="s">
        <v>127</v>
      </c>
      <c r="C58" t="s">
        <v>128</v>
      </c>
      <c r="D58" t="s">
        <v>110</v>
      </c>
      <c r="E58" t="s">
        <v>11</v>
      </c>
      <c r="F58" t="s">
        <v>11</v>
      </c>
      <c r="G58" t="s">
        <v>12</v>
      </c>
      <c r="H58" t="s">
        <v>13</v>
      </c>
      <c r="I58" t="s">
        <v>13</v>
      </c>
    </row>
    <row r="59" spans="2:9" ht="13.5" customHeight="1" x14ac:dyDescent="0.3">
      <c r="B59" t="s">
        <v>129</v>
      </c>
      <c r="C59" t="s">
        <v>130</v>
      </c>
      <c r="D59" t="s">
        <v>131</v>
      </c>
      <c r="E59" t="s">
        <v>11</v>
      </c>
      <c r="F59" t="s">
        <v>11</v>
      </c>
      <c r="G59" t="s">
        <v>12</v>
      </c>
      <c r="H59" t="s">
        <v>13</v>
      </c>
      <c r="I59" t="s">
        <v>13</v>
      </c>
    </row>
    <row r="60" spans="2:9" ht="13.5" customHeight="1" x14ac:dyDescent="0.3">
      <c r="B60" t="s">
        <v>132</v>
      </c>
      <c r="C60" t="s">
        <v>133</v>
      </c>
      <c r="D60" t="s">
        <v>134</v>
      </c>
      <c r="E60" t="s">
        <v>11</v>
      </c>
      <c r="F60" t="s">
        <v>11</v>
      </c>
      <c r="G60" t="s">
        <v>12</v>
      </c>
      <c r="H60" t="s">
        <v>13</v>
      </c>
      <c r="I60" t="s">
        <v>13</v>
      </c>
    </row>
    <row r="61" spans="2:9" ht="13.5" customHeight="1" x14ac:dyDescent="0.3">
      <c r="B61" t="s">
        <v>135</v>
      </c>
      <c r="C61" t="s">
        <v>136</v>
      </c>
      <c r="D61" t="s">
        <v>134</v>
      </c>
      <c r="E61" t="s">
        <v>11</v>
      </c>
      <c r="F61" t="s">
        <v>11</v>
      </c>
      <c r="G61" t="s">
        <v>12</v>
      </c>
      <c r="H61" t="s">
        <v>13</v>
      </c>
      <c r="I61" t="s">
        <v>13</v>
      </c>
    </row>
    <row r="62" spans="2:9" ht="13.5" customHeight="1" x14ac:dyDescent="0.3">
      <c r="B62" t="s">
        <v>137</v>
      </c>
      <c r="C62" t="s">
        <v>138</v>
      </c>
      <c r="D62" t="s">
        <v>134</v>
      </c>
      <c r="E62" t="s">
        <v>11</v>
      </c>
      <c r="F62" t="s">
        <v>11</v>
      </c>
      <c r="G62" t="s">
        <v>12</v>
      </c>
      <c r="H62" t="s">
        <v>13</v>
      </c>
      <c r="I62" t="s">
        <v>13</v>
      </c>
    </row>
    <row r="63" spans="2:9" ht="13.5" customHeight="1" x14ac:dyDescent="0.3">
      <c r="B63" t="s">
        <v>139</v>
      </c>
      <c r="C63" t="s">
        <v>140</v>
      </c>
      <c r="D63" t="s">
        <v>141</v>
      </c>
      <c r="E63" t="s">
        <v>11</v>
      </c>
      <c r="F63" t="s">
        <v>11</v>
      </c>
      <c r="G63" t="s">
        <v>12</v>
      </c>
      <c r="H63" t="s">
        <v>13</v>
      </c>
      <c r="I63" t="s">
        <v>13</v>
      </c>
    </row>
    <row r="64" spans="2:9" ht="13.5" customHeight="1" x14ac:dyDescent="0.3">
      <c r="B64" t="s">
        <v>142</v>
      </c>
      <c r="C64" t="s">
        <v>143</v>
      </c>
      <c r="D64" t="s">
        <v>141</v>
      </c>
      <c r="E64" t="s">
        <v>11</v>
      </c>
      <c r="F64" t="s">
        <v>11</v>
      </c>
      <c r="G64" t="s">
        <v>12</v>
      </c>
      <c r="H64" t="s">
        <v>13</v>
      </c>
      <c r="I64" t="s">
        <v>13</v>
      </c>
    </row>
    <row r="65" spans="2:9" ht="13.5" customHeight="1" x14ac:dyDescent="0.3">
      <c r="B65" t="s">
        <v>144</v>
      </c>
      <c r="C65" t="s">
        <v>145</v>
      </c>
      <c r="D65" t="s">
        <v>141</v>
      </c>
      <c r="E65" t="s">
        <v>11</v>
      </c>
      <c r="F65" t="s">
        <v>11</v>
      </c>
      <c r="G65" t="s">
        <v>12</v>
      </c>
      <c r="H65" t="s">
        <v>13</v>
      </c>
      <c r="I65" t="s">
        <v>13</v>
      </c>
    </row>
    <row r="66" spans="2:9" ht="13.5" customHeight="1" x14ac:dyDescent="0.3">
      <c r="B66" t="s">
        <v>146</v>
      </c>
      <c r="C66" t="s">
        <v>147</v>
      </c>
      <c r="D66" t="s">
        <v>141</v>
      </c>
      <c r="E66" t="s">
        <v>11</v>
      </c>
      <c r="F66" t="s">
        <v>11</v>
      </c>
      <c r="G66" t="s">
        <v>12</v>
      </c>
      <c r="H66" t="s">
        <v>13</v>
      </c>
      <c r="I66" t="s">
        <v>13</v>
      </c>
    </row>
    <row r="67" spans="2:9" ht="13.5" customHeight="1" x14ac:dyDescent="0.3">
      <c r="B67" t="s">
        <v>148</v>
      </c>
      <c r="C67" t="s">
        <v>149</v>
      </c>
      <c r="D67" t="s">
        <v>141</v>
      </c>
      <c r="E67" t="s">
        <v>11</v>
      </c>
      <c r="F67" t="s">
        <v>11</v>
      </c>
      <c r="G67" t="s">
        <v>12</v>
      </c>
      <c r="H67" t="s">
        <v>13</v>
      </c>
      <c r="I67" t="s">
        <v>13</v>
      </c>
    </row>
    <row r="68" spans="2:9" ht="13.5" customHeight="1" x14ac:dyDescent="0.3">
      <c r="B68" t="s">
        <v>150</v>
      </c>
      <c r="C68" t="s">
        <v>151</v>
      </c>
      <c r="D68" t="s">
        <v>141</v>
      </c>
      <c r="E68" t="s">
        <v>11</v>
      </c>
      <c r="F68" t="s">
        <v>11</v>
      </c>
      <c r="G68" t="s">
        <v>12</v>
      </c>
      <c r="H68" t="s">
        <v>13</v>
      </c>
      <c r="I68" t="s">
        <v>13</v>
      </c>
    </row>
    <row r="69" spans="2:9" ht="13.5" customHeight="1" x14ac:dyDescent="0.3">
      <c r="B69" t="s">
        <v>152</v>
      </c>
      <c r="C69" t="s">
        <v>153</v>
      </c>
      <c r="D69" t="s">
        <v>141</v>
      </c>
      <c r="E69" t="s">
        <v>11</v>
      </c>
      <c r="F69" t="s">
        <v>11</v>
      </c>
      <c r="G69" t="s">
        <v>12</v>
      </c>
      <c r="H69" t="s">
        <v>13</v>
      </c>
      <c r="I69" t="s">
        <v>13</v>
      </c>
    </row>
    <row r="70" spans="2:9" ht="13.5" customHeight="1" x14ac:dyDescent="0.3">
      <c r="B70" t="s">
        <v>154</v>
      </c>
      <c r="C70" t="s">
        <v>155</v>
      </c>
      <c r="D70" t="s">
        <v>141</v>
      </c>
      <c r="E70" t="s">
        <v>11</v>
      </c>
      <c r="F70" t="s">
        <v>11</v>
      </c>
      <c r="G70" t="s">
        <v>12</v>
      </c>
      <c r="H70" t="s">
        <v>13</v>
      </c>
      <c r="I70" t="s">
        <v>13</v>
      </c>
    </row>
    <row r="71" spans="2:9" ht="13.5" customHeight="1" x14ac:dyDescent="0.3">
      <c r="B71" t="s">
        <v>156</v>
      </c>
      <c r="C71" t="s">
        <v>157</v>
      </c>
      <c r="D71" t="s">
        <v>141</v>
      </c>
      <c r="E71" t="s">
        <v>11</v>
      </c>
      <c r="F71" t="s">
        <v>11</v>
      </c>
      <c r="G71" t="s">
        <v>12</v>
      </c>
      <c r="H71" t="s">
        <v>13</v>
      </c>
      <c r="I71" t="s">
        <v>13</v>
      </c>
    </row>
    <row r="72" spans="2:9" ht="13.5" customHeight="1" x14ac:dyDescent="0.3">
      <c r="B72" t="s">
        <v>158</v>
      </c>
      <c r="C72" t="s">
        <v>159</v>
      </c>
      <c r="D72" t="s">
        <v>141</v>
      </c>
      <c r="E72" t="s">
        <v>11</v>
      </c>
      <c r="F72" t="s">
        <v>11</v>
      </c>
      <c r="G72" t="s">
        <v>12</v>
      </c>
      <c r="H72" t="s">
        <v>13</v>
      </c>
      <c r="I72" t="s">
        <v>13</v>
      </c>
    </row>
    <row r="73" spans="2:9" ht="13.5" customHeight="1" x14ac:dyDescent="0.3">
      <c r="B73" t="s">
        <v>160</v>
      </c>
      <c r="C73" t="s">
        <v>161</v>
      </c>
      <c r="D73" t="s">
        <v>141</v>
      </c>
      <c r="E73" t="s">
        <v>11</v>
      </c>
      <c r="F73" t="s">
        <v>11</v>
      </c>
      <c r="G73" t="s">
        <v>12</v>
      </c>
      <c r="H73" t="s">
        <v>13</v>
      </c>
      <c r="I73" t="s">
        <v>13</v>
      </c>
    </row>
    <row r="74" spans="2:9" ht="13.5" customHeight="1" x14ac:dyDescent="0.3">
      <c r="B74" t="s">
        <v>162</v>
      </c>
      <c r="C74" t="s">
        <v>163</v>
      </c>
      <c r="D74" t="s">
        <v>141</v>
      </c>
      <c r="E74" t="s">
        <v>11</v>
      </c>
      <c r="F74" t="s">
        <v>11</v>
      </c>
      <c r="G74" t="s">
        <v>12</v>
      </c>
      <c r="H74" t="s">
        <v>13</v>
      </c>
      <c r="I74" t="s">
        <v>13</v>
      </c>
    </row>
    <row r="75" spans="2:9" ht="13.5" customHeight="1" x14ac:dyDescent="0.3">
      <c r="B75" t="s">
        <v>164</v>
      </c>
      <c r="C75" t="s">
        <v>165</v>
      </c>
      <c r="D75" t="s">
        <v>141</v>
      </c>
      <c r="E75" t="s">
        <v>11</v>
      </c>
      <c r="F75" t="s">
        <v>11</v>
      </c>
      <c r="G75" t="s">
        <v>12</v>
      </c>
      <c r="H75" t="s">
        <v>13</v>
      </c>
      <c r="I75" t="s">
        <v>13</v>
      </c>
    </row>
    <row r="76" spans="2:9" ht="13.5" customHeight="1" x14ac:dyDescent="0.3">
      <c r="B76" t="s">
        <v>166</v>
      </c>
      <c r="C76" t="s">
        <v>167</v>
      </c>
      <c r="D76" t="s">
        <v>141</v>
      </c>
      <c r="E76" t="s">
        <v>11</v>
      </c>
      <c r="F76" t="s">
        <v>11</v>
      </c>
      <c r="G76" t="s">
        <v>12</v>
      </c>
      <c r="H76" t="s">
        <v>13</v>
      </c>
      <c r="I76" t="s">
        <v>13</v>
      </c>
    </row>
    <row r="77" spans="2:9" ht="13.5" customHeight="1" x14ac:dyDescent="0.3">
      <c r="B77" t="s">
        <v>168</v>
      </c>
      <c r="C77" t="s">
        <v>169</v>
      </c>
      <c r="D77" t="s">
        <v>141</v>
      </c>
      <c r="E77" t="s">
        <v>11</v>
      </c>
      <c r="F77" t="s">
        <v>11</v>
      </c>
      <c r="G77" t="s">
        <v>12</v>
      </c>
      <c r="H77" t="s">
        <v>13</v>
      </c>
      <c r="I77" t="s">
        <v>13</v>
      </c>
    </row>
    <row r="78" spans="2:9" ht="13.5" customHeight="1" x14ac:dyDescent="0.3">
      <c r="B78" t="s">
        <v>170</v>
      </c>
      <c r="C78" t="s">
        <v>171</v>
      </c>
      <c r="D78" t="s">
        <v>141</v>
      </c>
      <c r="E78" t="s">
        <v>11</v>
      </c>
      <c r="F78" t="s">
        <v>11</v>
      </c>
      <c r="G78" t="s">
        <v>12</v>
      </c>
      <c r="H78" t="s">
        <v>13</v>
      </c>
      <c r="I78" t="s">
        <v>13</v>
      </c>
    </row>
    <row r="79" spans="2:9" ht="13.5" customHeight="1" x14ac:dyDescent="0.3">
      <c r="B79" t="s">
        <v>172</v>
      </c>
      <c r="C79" t="s">
        <v>173</v>
      </c>
      <c r="D79" t="s">
        <v>141</v>
      </c>
      <c r="E79" t="s">
        <v>11</v>
      </c>
      <c r="F79" t="s">
        <v>11</v>
      </c>
      <c r="G79" t="s">
        <v>12</v>
      </c>
      <c r="H79" t="s">
        <v>13</v>
      </c>
      <c r="I79" t="s">
        <v>13</v>
      </c>
    </row>
    <row r="80" spans="2:9" ht="13.5" customHeight="1" x14ac:dyDescent="0.3">
      <c r="B80" t="s">
        <v>174</v>
      </c>
      <c r="C80" t="s">
        <v>175</v>
      </c>
      <c r="D80" t="s">
        <v>141</v>
      </c>
      <c r="E80" t="s">
        <v>11</v>
      </c>
      <c r="F80" t="s">
        <v>11</v>
      </c>
      <c r="G80" t="s">
        <v>12</v>
      </c>
      <c r="H80" t="s">
        <v>13</v>
      </c>
      <c r="I80" t="s">
        <v>13</v>
      </c>
    </row>
    <row r="81" spans="2:9" ht="13.5" customHeight="1" x14ac:dyDescent="0.3">
      <c r="B81" t="s">
        <v>176</v>
      </c>
      <c r="C81" t="s">
        <v>177</v>
      </c>
      <c r="D81" t="s">
        <v>178</v>
      </c>
      <c r="E81" t="s">
        <v>11</v>
      </c>
      <c r="F81" t="s">
        <v>11</v>
      </c>
      <c r="G81" t="s">
        <v>12</v>
      </c>
      <c r="H81" t="s">
        <v>13</v>
      </c>
      <c r="I81" t="s">
        <v>13</v>
      </c>
    </row>
    <row r="82" spans="2:9" ht="13.5" customHeight="1" x14ac:dyDescent="0.3">
      <c r="B82" t="s">
        <v>179</v>
      </c>
      <c r="C82" t="s">
        <v>180</v>
      </c>
      <c r="D82" t="s">
        <v>181</v>
      </c>
      <c r="E82" t="s">
        <v>11</v>
      </c>
      <c r="F82" t="s">
        <v>11</v>
      </c>
      <c r="G82" t="s">
        <v>12</v>
      </c>
      <c r="H82" t="s">
        <v>13</v>
      </c>
      <c r="I82" t="s">
        <v>13</v>
      </c>
    </row>
    <row r="83" spans="2:9" ht="13.5" customHeight="1" x14ac:dyDescent="0.3">
      <c r="B83" t="s">
        <v>182</v>
      </c>
      <c r="C83" t="s">
        <v>183</v>
      </c>
      <c r="D83" t="s">
        <v>181</v>
      </c>
      <c r="E83" t="s">
        <v>11</v>
      </c>
      <c r="F83" t="s">
        <v>11</v>
      </c>
      <c r="G83" t="s">
        <v>12</v>
      </c>
      <c r="H83" t="s">
        <v>13</v>
      </c>
      <c r="I83" t="s">
        <v>13</v>
      </c>
    </row>
    <row r="84" spans="2:9" ht="13.5" customHeight="1" x14ac:dyDescent="0.3">
      <c r="B84" t="s">
        <v>184</v>
      </c>
      <c r="C84" t="s">
        <v>185</v>
      </c>
      <c r="D84" t="s">
        <v>181</v>
      </c>
      <c r="E84" t="s">
        <v>11</v>
      </c>
      <c r="F84" t="s">
        <v>11</v>
      </c>
      <c r="G84" t="s">
        <v>12</v>
      </c>
      <c r="H84" t="s">
        <v>13</v>
      </c>
      <c r="I84" t="s">
        <v>13</v>
      </c>
    </row>
    <row r="85" spans="2:9" ht="13.5" customHeight="1" x14ac:dyDescent="0.3">
      <c r="B85" t="s">
        <v>186</v>
      </c>
      <c r="C85" t="s">
        <v>187</v>
      </c>
      <c r="D85" t="s">
        <v>181</v>
      </c>
      <c r="E85" t="s">
        <v>11</v>
      </c>
      <c r="F85" t="s">
        <v>11</v>
      </c>
      <c r="G85" t="s">
        <v>12</v>
      </c>
      <c r="H85" t="s">
        <v>13</v>
      </c>
      <c r="I85" t="s">
        <v>13</v>
      </c>
    </row>
    <row r="86" spans="2:9" ht="13.5" customHeight="1" x14ac:dyDescent="0.3">
      <c r="B86" t="s">
        <v>188</v>
      </c>
      <c r="C86" t="s">
        <v>189</v>
      </c>
      <c r="D86" t="s">
        <v>181</v>
      </c>
      <c r="E86" t="s">
        <v>11</v>
      </c>
      <c r="F86" t="s">
        <v>11</v>
      </c>
      <c r="G86" t="s">
        <v>12</v>
      </c>
      <c r="H86" t="s">
        <v>13</v>
      </c>
      <c r="I86" t="s">
        <v>13</v>
      </c>
    </row>
    <row r="87" spans="2:9" ht="13.5" customHeight="1" x14ac:dyDescent="0.3">
      <c r="B87" t="s">
        <v>190</v>
      </c>
      <c r="C87" t="s">
        <v>191</v>
      </c>
      <c r="D87" t="s">
        <v>181</v>
      </c>
      <c r="E87" t="s">
        <v>11</v>
      </c>
      <c r="F87" t="s">
        <v>11</v>
      </c>
      <c r="G87" t="s">
        <v>12</v>
      </c>
      <c r="H87" t="s">
        <v>13</v>
      </c>
      <c r="I87" t="s">
        <v>13</v>
      </c>
    </row>
    <row r="88" spans="2:9" ht="13.5" customHeight="1" x14ac:dyDescent="0.3">
      <c r="B88" t="s">
        <v>192</v>
      </c>
      <c r="C88" t="s">
        <v>193</v>
      </c>
      <c r="D88" t="s">
        <v>181</v>
      </c>
      <c r="E88" t="s">
        <v>11</v>
      </c>
      <c r="F88" t="s">
        <v>11</v>
      </c>
      <c r="G88" t="s">
        <v>12</v>
      </c>
      <c r="H88" t="s">
        <v>13</v>
      </c>
      <c r="I88" t="s">
        <v>13</v>
      </c>
    </row>
    <row r="89" spans="2:9" ht="13.5" customHeight="1" x14ac:dyDescent="0.3">
      <c r="B89" t="s">
        <v>194</v>
      </c>
      <c r="C89" t="s">
        <v>195</v>
      </c>
      <c r="D89" t="s">
        <v>181</v>
      </c>
      <c r="E89" t="s">
        <v>11</v>
      </c>
      <c r="F89" t="s">
        <v>11</v>
      </c>
      <c r="G89" t="s">
        <v>12</v>
      </c>
      <c r="H89" t="s">
        <v>13</v>
      </c>
      <c r="I89" t="s">
        <v>13</v>
      </c>
    </row>
    <row r="90" spans="2:9" ht="13.5" customHeight="1" x14ac:dyDescent="0.3">
      <c r="B90" t="s">
        <v>196</v>
      </c>
      <c r="C90" t="s">
        <v>197</v>
      </c>
      <c r="D90" t="s">
        <v>181</v>
      </c>
      <c r="E90" t="s">
        <v>11</v>
      </c>
      <c r="F90" t="s">
        <v>11</v>
      </c>
      <c r="G90" t="s">
        <v>12</v>
      </c>
      <c r="H90" t="s">
        <v>13</v>
      </c>
      <c r="I90" t="s">
        <v>13</v>
      </c>
    </row>
    <row r="91" spans="2:9" ht="13.5" customHeight="1" x14ac:dyDescent="0.3">
      <c r="B91" t="s">
        <v>198</v>
      </c>
      <c r="C91" t="s">
        <v>199</v>
      </c>
      <c r="D91" t="s">
        <v>181</v>
      </c>
      <c r="E91" t="s">
        <v>11</v>
      </c>
      <c r="F91" t="s">
        <v>11</v>
      </c>
      <c r="G91" t="s">
        <v>12</v>
      </c>
      <c r="H91" t="s">
        <v>13</v>
      </c>
      <c r="I91" t="s">
        <v>13</v>
      </c>
    </row>
    <row r="92" spans="2:9" ht="13.5" customHeight="1" x14ac:dyDescent="0.3">
      <c r="B92" t="s">
        <v>200</v>
      </c>
      <c r="C92" t="s">
        <v>201</v>
      </c>
      <c r="D92" t="s">
        <v>181</v>
      </c>
      <c r="E92" t="s">
        <v>11</v>
      </c>
      <c r="F92" t="s">
        <v>11</v>
      </c>
      <c r="G92" t="s">
        <v>12</v>
      </c>
      <c r="H92" t="s">
        <v>13</v>
      </c>
      <c r="I92" t="s">
        <v>13</v>
      </c>
    </row>
    <row r="93" spans="2:9" ht="13.5" customHeight="1" x14ac:dyDescent="0.3">
      <c r="B93" t="s">
        <v>202</v>
      </c>
      <c r="C93" t="s">
        <v>203</v>
      </c>
      <c r="D93" t="s">
        <v>181</v>
      </c>
      <c r="E93" t="s">
        <v>11</v>
      </c>
      <c r="F93" t="s">
        <v>11</v>
      </c>
      <c r="G93" t="s">
        <v>12</v>
      </c>
      <c r="H93" t="s">
        <v>13</v>
      </c>
      <c r="I93" t="s">
        <v>13</v>
      </c>
    </row>
    <row r="94" spans="2:9" ht="13.5" customHeight="1" x14ac:dyDescent="0.3">
      <c r="B94" t="s">
        <v>204</v>
      </c>
      <c r="C94" t="s">
        <v>205</v>
      </c>
      <c r="D94" t="s">
        <v>181</v>
      </c>
      <c r="E94" t="s">
        <v>11</v>
      </c>
      <c r="F94" t="s">
        <v>11</v>
      </c>
      <c r="G94" t="s">
        <v>12</v>
      </c>
      <c r="H94" t="s">
        <v>13</v>
      </c>
      <c r="I94" t="s">
        <v>13</v>
      </c>
    </row>
    <row r="95" spans="2:9" ht="13.5" customHeight="1" x14ac:dyDescent="0.3">
      <c r="B95" t="s">
        <v>206</v>
      </c>
      <c r="C95" t="s">
        <v>207</v>
      </c>
      <c r="D95" t="s">
        <v>181</v>
      </c>
      <c r="E95" t="s">
        <v>11</v>
      </c>
      <c r="F95" t="s">
        <v>11</v>
      </c>
      <c r="G95" t="s">
        <v>12</v>
      </c>
      <c r="H95" t="s">
        <v>13</v>
      </c>
      <c r="I95" t="s">
        <v>13</v>
      </c>
    </row>
    <row r="96" spans="2:9" ht="13.5" customHeight="1" x14ac:dyDescent="0.3">
      <c r="B96" t="s">
        <v>208</v>
      </c>
      <c r="C96" t="s">
        <v>209</v>
      </c>
      <c r="D96" t="s">
        <v>210</v>
      </c>
      <c r="E96" t="s">
        <v>11</v>
      </c>
      <c r="F96" t="s">
        <v>11</v>
      </c>
      <c r="G96" t="s">
        <v>12</v>
      </c>
      <c r="H96" t="s">
        <v>13</v>
      </c>
      <c r="I96" t="s">
        <v>13</v>
      </c>
    </row>
    <row r="97" spans="2:9" ht="13.5" customHeight="1" x14ac:dyDescent="0.3">
      <c r="B97" t="s">
        <v>211</v>
      </c>
      <c r="C97" t="s">
        <v>212</v>
      </c>
      <c r="D97" t="s">
        <v>210</v>
      </c>
      <c r="E97" t="s">
        <v>11</v>
      </c>
      <c r="F97" t="s">
        <v>11</v>
      </c>
      <c r="G97" t="s">
        <v>12</v>
      </c>
      <c r="H97" t="s">
        <v>13</v>
      </c>
      <c r="I97" t="s">
        <v>13</v>
      </c>
    </row>
    <row r="98" spans="2:9" ht="13.5" customHeight="1" x14ac:dyDescent="0.3">
      <c r="B98" t="s">
        <v>213</v>
      </c>
      <c r="C98" t="s">
        <v>214</v>
      </c>
      <c r="D98" t="s">
        <v>210</v>
      </c>
      <c r="E98" t="s">
        <v>11</v>
      </c>
      <c r="F98" t="s">
        <v>11</v>
      </c>
      <c r="G98" t="s">
        <v>12</v>
      </c>
      <c r="H98" t="s">
        <v>13</v>
      </c>
      <c r="I98" t="s">
        <v>13</v>
      </c>
    </row>
    <row r="99" spans="2:9" ht="13.5" customHeight="1" x14ac:dyDescent="0.3">
      <c r="B99" t="s">
        <v>215</v>
      </c>
      <c r="C99" t="s">
        <v>216</v>
      </c>
      <c r="D99" t="s">
        <v>210</v>
      </c>
      <c r="E99" t="s">
        <v>11</v>
      </c>
      <c r="F99" t="s">
        <v>11</v>
      </c>
      <c r="G99" t="s">
        <v>12</v>
      </c>
      <c r="H99" t="s">
        <v>13</v>
      </c>
      <c r="I99" t="s">
        <v>13</v>
      </c>
    </row>
    <row r="100" spans="2:9" ht="13.5" customHeight="1" x14ac:dyDescent="0.3">
      <c r="B100" t="s">
        <v>217</v>
      </c>
      <c r="C100" t="s">
        <v>218</v>
      </c>
      <c r="D100" t="s">
        <v>210</v>
      </c>
      <c r="E100" t="s">
        <v>11</v>
      </c>
      <c r="F100" t="s">
        <v>11</v>
      </c>
      <c r="G100" t="s">
        <v>12</v>
      </c>
      <c r="H100" t="s">
        <v>13</v>
      </c>
      <c r="I100" t="s">
        <v>13</v>
      </c>
    </row>
    <row r="101" spans="2:9" ht="13.5" customHeight="1" x14ac:dyDescent="0.3">
      <c r="B101" t="s">
        <v>219</v>
      </c>
      <c r="C101" t="s">
        <v>220</v>
      </c>
      <c r="D101" t="s">
        <v>210</v>
      </c>
      <c r="E101" t="s">
        <v>11</v>
      </c>
      <c r="F101" t="s">
        <v>11</v>
      </c>
      <c r="G101" t="s">
        <v>12</v>
      </c>
      <c r="H101" t="s">
        <v>13</v>
      </c>
      <c r="I101" t="s">
        <v>13</v>
      </c>
    </row>
    <row r="102" spans="2:9" ht="13.5" customHeight="1" x14ac:dyDescent="0.3">
      <c r="B102" t="s">
        <v>221</v>
      </c>
      <c r="C102" t="s">
        <v>222</v>
      </c>
      <c r="D102" t="s">
        <v>210</v>
      </c>
      <c r="E102" t="s">
        <v>11</v>
      </c>
      <c r="F102" t="s">
        <v>11</v>
      </c>
      <c r="G102" t="s">
        <v>12</v>
      </c>
      <c r="H102" t="s">
        <v>13</v>
      </c>
      <c r="I102" t="s">
        <v>13</v>
      </c>
    </row>
    <row r="103" spans="2:9" ht="13.5" customHeight="1" x14ac:dyDescent="0.3">
      <c r="B103" t="s">
        <v>223</v>
      </c>
      <c r="C103" t="s">
        <v>224</v>
      </c>
      <c r="D103" t="s">
        <v>210</v>
      </c>
      <c r="E103" t="s">
        <v>11</v>
      </c>
      <c r="F103" t="s">
        <v>11</v>
      </c>
      <c r="G103" t="s">
        <v>12</v>
      </c>
      <c r="H103" t="s">
        <v>13</v>
      </c>
      <c r="I103" t="s">
        <v>13</v>
      </c>
    </row>
    <row r="104" spans="2:9" ht="13.5" customHeight="1" x14ac:dyDescent="0.3">
      <c r="B104" t="s">
        <v>225</v>
      </c>
      <c r="C104" t="s">
        <v>226</v>
      </c>
      <c r="D104" t="s">
        <v>210</v>
      </c>
      <c r="E104" t="s">
        <v>11</v>
      </c>
      <c r="F104" t="s">
        <v>11</v>
      </c>
      <c r="G104" t="s">
        <v>12</v>
      </c>
      <c r="H104" t="s">
        <v>13</v>
      </c>
      <c r="I104" t="s">
        <v>13</v>
      </c>
    </row>
    <row r="105" spans="2:9" ht="13.5" customHeight="1" x14ac:dyDescent="0.3">
      <c r="B105" t="s">
        <v>227</v>
      </c>
      <c r="C105" t="s">
        <v>228</v>
      </c>
      <c r="D105" t="s">
        <v>210</v>
      </c>
      <c r="E105" t="s">
        <v>11</v>
      </c>
      <c r="F105" t="s">
        <v>11</v>
      </c>
      <c r="G105" t="s">
        <v>12</v>
      </c>
      <c r="H105" t="s">
        <v>13</v>
      </c>
      <c r="I105" t="s">
        <v>13</v>
      </c>
    </row>
    <row r="106" spans="2:9" ht="13.5" customHeight="1" x14ac:dyDescent="0.3">
      <c r="B106" t="s">
        <v>229</v>
      </c>
      <c r="C106" t="s">
        <v>230</v>
      </c>
      <c r="D106" t="s">
        <v>210</v>
      </c>
      <c r="E106" t="s">
        <v>11</v>
      </c>
      <c r="F106" t="s">
        <v>11</v>
      </c>
      <c r="G106" t="s">
        <v>12</v>
      </c>
      <c r="H106" t="s">
        <v>13</v>
      </c>
      <c r="I106" t="s">
        <v>13</v>
      </c>
    </row>
    <row r="107" spans="2:9" ht="13.5" customHeight="1" x14ac:dyDescent="0.3">
      <c r="B107" t="s">
        <v>231</v>
      </c>
      <c r="C107" t="s">
        <v>232</v>
      </c>
      <c r="D107" t="s">
        <v>210</v>
      </c>
      <c r="E107" t="s">
        <v>11</v>
      </c>
      <c r="F107" t="s">
        <v>11</v>
      </c>
      <c r="G107" t="s">
        <v>12</v>
      </c>
      <c r="H107" t="s">
        <v>13</v>
      </c>
      <c r="I107" t="s">
        <v>13</v>
      </c>
    </row>
    <row r="108" spans="2:9" ht="13.5" customHeight="1" x14ac:dyDescent="0.3">
      <c r="B108" t="s">
        <v>233</v>
      </c>
      <c r="C108" t="s">
        <v>234</v>
      </c>
      <c r="D108" t="s">
        <v>210</v>
      </c>
      <c r="E108" t="s">
        <v>11</v>
      </c>
      <c r="F108" t="s">
        <v>11</v>
      </c>
      <c r="G108" t="s">
        <v>12</v>
      </c>
      <c r="H108" t="s">
        <v>13</v>
      </c>
      <c r="I108" t="s">
        <v>13</v>
      </c>
    </row>
    <row r="109" spans="2:9" ht="13.5" customHeight="1" x14ac:dyDescent="0.3">
      <c r="B109" t="s">
        <v>235</v>
      </c>
      <c r="C109" t="s">
        <v>236</v>
      </c>
      <c r="D109" t="s">
        <v>210</v>
      </c>
      <c r="E109" t="s">
        <v>11</v>
      </c>
      <c r="F109" t="s">
        <v>11</v>
      </c>
      <c r="G109" t="s">
        <v>12</v>
      </c>
      <c r="H109" t="s">
        <v>13</v>
      </c>
      <c r="I109" t="s">
        <v>13</v>
      </c>
    </row>
    <row r="110" spans="2:9" ht="13.5" customHeight="1" x14ac:dyDescent="0.3">
      <c r="B110" t="s">
        <v>237</v>
      </c>
      <c r="C110" t="s">
        <v>238</v>
      </c>
      <c r="D110" t="s">
        <v>239</v>
      </c>
      <c r="E110" t="s">
        <v>11</v>
      </c>
      <c r="F110" t="s">
        <v>11</v>
      </c>
      <c r="G110" t="s">
        <v>12</v>
      </c>
      <c r="H110" t="s">
        <v>13</v>
      </c>
      <c r="I110" t="s">
        <v>13</v>
      </c>
    </row>
    <row r="111" spans="2:9" ht="13.5" customHeight="1" x14ac:dyDescent="0.3">
      <c r="B111" t="s">
        <v>240</v>
      </c>
      <c r="C111" t="s">
        <v>240</v>
      </c>
      <c r="D111" t="s">
        <v>239</v>
      </c>
      <c r="E111" t="s">
        <v>11</v>
      </c>
      <c r="F111" t="s">
        <v>11</v>
      </c>
      <c r="G111" t="s">
        <v>12</v>
      </c>
      <c r="H111" t="s">
        <v>13</v>
      </c>
      <c r="I111" t="s">
        <v>13</v>
      </c>
    </row>
    <row r="112" spans="2:9" ht="13.5" customHeight="1" x14ac:dyDescent="0.3">
      <c r="B112" t="s">
        <v>241</v>
      </c>
      <c r="C112" t="s">
        <v>242</v>
      </c>
      <c r="D112" t="s">
        <v>239</v>
      </c>
      <c r="E112" t="s">
        <v>11</v>
      </c>
      <c r="F112" t="s">
        <v>11</v>
      </c>
      <c r="G112" t="s">
        <v>12</v>
      </c>
      <c r="H112" t="s">
        <v>13</v>
      </c>
      <c r="I112" t="s">
        <v>13</v>
      </c>
    </row>
    <row r="113" spans="2:9" ht="13.5" customHeight="1" x14ac:dyDescent="0.3">
      <c r="B113" t="s">
        <v>243</v>
      </c>
      <c r="C113" t="s">
        <v>244</v>
      </c>
      <c r="D113" t="s">
        <v>239</v>
      </c>
      <c r="E113" t="s">
        <v>11</v>
      </c>
      <c r="F113" t="s">
        <v>11</v>
      </c>
      <c r="G113" t="s">
        <v>12</v>
      </c>
      <c r="H113" t="s">
        <v>13</v>
      </c>
      <c r="I113" t="s">
        <v>13</v>
      </c>
    </row>
    <row r="114" spans="2:9" ht="13.5" customHeight="1" x14ac:dyDescent="0.3">
      <c r="B114" t="s">
        <v>245</v>
      </c>
      <c r="C114" t="s">
        <v>246</v>
      </c>
      <c r="D114" t="s">
        <v>239</v>
      </c>
      <c r="E114" t="s">
        <v>11</v>
      </c>
      <c r="F114" t="s">
        <v>11</v>
      </c>
      <c r="G114" t="s">
        <v>12</v>
      </c>
      <c r="H114" t="s">
        <v>13</v>
      </c>
      <c r="I114" t="s">
        <v>13</v>
      </c>
    </row>
    <row r="115" spans="2:9" ht="13.5" customHeight="1" x14ac:dyDescent="0.3">
      <c r="B115" t="s">
        <v>247</v>
      </c>
      <c r="C115" t="s">
        <v>248</v>
      </c>
      <c r="D115" t="s">
        <v>239</v>
      </c>
      <c r="E115" t="s">
        <v>11</v>
      </c>
      <c r="F115" t="s">
        <v>11</v>
      </c>
      <c r="G115" t="s">
        <v>12</v>
      </c>
      <c r="H115" t="s">
        <v>13</v>
      </c>
      <c r="I115" t="s">
        <v>13</v>
      </c>
    </row>
    <row r="116" spans="2:9" ht="13.5" customHeight="1" x14ac:dyDescent="0.3">
      <c r="B116" t="s">
        <v>249</v>
      </c>
      <c r="C116" t="s">
        <v>250</v>
      </c>
      <c r="D116" t="s">
        <v>239</v>
      </c>
      <c r="E116" t="s">
        <v>11</v>
      </c>
      <c r="F116" t="s">
        <v>11</v>
      </c>
      <c r="G116" t="s">
        <v>12</v>
      </c>
      <c r="H116" t="s">
        <v>13</v>
      </c>
      <c r="I116" t="s">
        <v>13</v>
      </c>
    </row>
    <row r="117" spans="2:9" ht="13.5" customHeight="1" x14ac:dyDescent="0.3">
      <c r="B117" t="s">
        <v>251</v>
      </c>
      <c r="C117" t="s">
        <v>252</v>
      </c>
      <c r="D117" t="s">
        <v>239</v>
      </c>
      <c r="E117" t="s">
        <v>11</v>
      </c>
      <c r="F117" t="s">
        <v>11</v>
      </c>
      <c r="G117" t="s">
        <v>12</v>
      </c>
      <c r="H117" t="s">
        <v>13</v>
      </c>
      <c r="I117" t="s">
        <v>13</v>
      </c>
    </row>
    <row r="118" spans="2:9" ht="13.5" customHeight="1" x14ac:dyDescent="0.3">
      <c r="B118" t="s">
        <v>253</v>
      </c>
      <c r="C118" t="s">
        <v>254</v>
      </c>
      <c r="D118" t="s">
        <v>239</v>
      </c>
      <c r="E118" t="s">
        <v>11</v>
      </c>
      <c r="F118" t="s">
        <v>11</v>
      </c>
      <c r="G118" t="s">
        <v>12</v>
      </c>
      <c r="H118" t="s">
        <v>13</v>
      </c>
      <c r="I118" t="s">
        <v>13</v>
      </c>
    </row>
    <row r="119" spans="2:9" ht="13.5" customHeight="1" x14ac:dyDescent="0.3">
      <c r="B119" t="s">
        <v>255</v>
      </c>
      <c r="C119" t="s">
        <v>256</v>
      </c>
      <c r="D119" t="s">
        <v>239</v>
      </c>
      <c r="E119" t="s">
        <v>11</v>
      </c>
      <c r="F119" t="s">
        <v>11</v>
      </c>
      <c r="G119" t="s">
        <v>12</v>
      </c>
      <c r="H119" t="s">
        <v>13</v>
      </c>
      <c r="I119" t="s">
        <v>13</v>
      </c>
    </row>
    <row r="120" spans="2:9" ht="13.5" customHeight="1" x14ac:dyDescent="0.3">
      <c r="B120" t="s">
        <v>257</v>
      </c>
      <c r="C120" t="s">
        <v>258</v>
      </c>
      <c r="D120" t="s">
        <v>239</v>
      </c>
      <c r="E120" t="s">
        <v>11</v>
      </c>
      <c r="F120" t="s">
        <v>11</v>
      </c>
      <c r="G120" t="s">
        <v>12</v>
      </c>
      <c r="H120" t="s">
        <v>13</v>
      </c>
      <c r="I120" t="s">
        <v>13</v>
      </c>
    </row>
    <row r="121" spans="2:9" ht="13.5" customHeight="1" x14ac:dyDescent="0.3">
      <c r="B121" t="s">
        <v>259</v>
      </c>
      <c r="C121" t="s">
        <v>260</v>
      </c>
      <c r="D121" t="s">
        <v>239</v>
      </c>
      <c r="E121" t="s">
        <v>11</v>
      </c>
      <c r="F121" t="s">
        <v>11</v>
      </c>
      <c r="G121" t="s">
        <v>12</v>
      </c>
      <c r="H121" t="s">
        <v>13</v>
      </c>
      <c r="I121" t="s">
        <v>13</v>
      </c>
    </row>
    <row r="122" spans="2:9" ht="13.5" customHeight="1" x14ac:dyDescent="0.3">
      <c r="B122" t="s">
        <v>261</v>
      </c>
      <c r="C122" t="s">
        <v>262</v>
      </c>
      <c r="D122" t="s">
        <v>239</v>
      </c>
      <c r="E122" t="s">
        <v>11</v>
      </c>
      <c r="F122" t="s">
        <v>11</v>
      </c>
      <c r="G122" t="s">
        <v>12</v>
      </c>
      <c r="H122" t="s">
        <v>13</v>
      </c>
      <c r="I122" t="s">
        <v>13</v>
      </c>
    </row>
    <row r="123" spans="2:9" ht="13.5" customHeight="1" x14ac:dyDescent="0.3">
      <c r="B123" t="s">
        <v>263</v>
      </c>
      <c r="C123" t="s">
        <v>264</v>
      </c>
      <c r="D123" t="s">
        <v>239</v>
      </c>
      <c r="E123" t="s">
        <v>11</v>
      </c>
      <c r="F123" t="s">
        <v>11</v>
      </c>
      <c r="G123" t="s">
        <v>12</v>
      </c>
      <c r="H123" t="s">
        <v>13</v>
      </c>
      <c r="I123" t="s">
        <v>13</v>
      </c>
    </row>
    <row r="124" spans="2:9" ht="13.5" customHeight="1" x14ac:dyDescent="0.3">
      <c r="B124" t="s">
        <v>265</v>
      </c>
      <c r="C124" t="s">
        <v>266</v>
      </c>
      <c r="D124" t="s">
        <v>239</v>
      </c>
      <c r="E124" t="s">
        <v>11</v>
      </c>
      <c r="F124" t="s">
        <v>11</v>
      </c>
      <c r="G124" t="s">
        <v>12</v>
      </c>
      <c r="H124" t="s">
        <v>13</v>
      </c>
      <c r="I124" t="s">
        <v>13</v>
      </c>
    </row>
    <row r="125" spans="2:9" ht="13.5" customHeight="1" x14ac:dyDescent="0.3">
      <c r="B125" t="s">
        <v>267</v>
      </c>
      <c r="C125" t="s">
        <v>268</v>
      </c>
      <c r="D125" t="s">
        <v>239</v>
      </c>
      <c r="E125" t="s">
        <v>11</v>
      </c>
      <c r="F125" t="s">
        <v>11</v>
      </c>
      <c r="G125" t="s">
        <v>12</v>
      </c>
      <c r="H125" t="s">
        <v>13</v>
      </c>
      <c r="I125" t="s">
        <v>13</v>
      </c>
    </row>
    <row r="126" spans="2:9" ht="13.5" customHeight="1" x14ac:dyDescent="0.3">
      <c r="B126" t="s">
        <v>269</v>
      </c>
      <c r="C126" t="s">
        <v>269</v>
      </c>
      <c r="D126" t="s">
        <v>239</v>
      </c>
      <c r="E126" t="s">
        <v>11</v>
      </c>
      <c r="F126" t="s">
        <v>11</v>
      </c>
      <c r="G126" t="s">
        <v>12</v>
      </c>
      <c r="H126" t="s">
        <v>13</v>
      </c>
      <c r="I126" t="s">
        <v>13</v>
      </c>
    </row>
    <row r="127" spans="2:9" ht="13.5" customHeight="1" x14ac:dyDescent="0.3">
      <c r="B127" t="s">
        <v>270</v>
      </c>
      <c r="C127" t="s">
        <v>270</v>
      </c>
      <c r="D127" t="s">
        <v>239</v>
      </c>
      <c r="E127" t="s">
        <v>11</v>
      </c>
      <c r="F127" t="s">
        <v>11</v>
      </c>
      <c r="G127" t="s">
        <v>12</v>
      </c>
      <c r="H127" t="s">
        <v>13</v>
      </c>
      <c r="I127" t="s">
        <v>13</v>
      </c>
    </row>
    <row r="128" spans="2:9" ht="13.5" customHeight="1" x14ac:dyDescent="0.3">
      <c r="B128" t="s">
        <v>271</v>
      </c>
      <c r="C128" t="s">
        <v>271</v>
      </c>
      <c r="D128" t="s">
        <v>239</v>
      </c>
      <c r="E128" t="s">
        <v>11</v>
      </c>
      <c r="F128" t="s">
        <v>11</v>
      </c>
      <c r="G128" t="s">
        <v>12</v>
      </c>
      <c r="H128" t="s">
        <v>13</v>
      </c>
      <c r="I128" t="s">
        <v>13</v>
      </c>
    </row>
    <row r="129" spans="2:9" ht="13.5" customHeight="1" x14ac:dyDescent="0.3">
      <c r="B129" t="s">
        <v>272</v>
      </c>
      <c r="C129" t="s">
        <v>272</v>
      </c>
      <c r="D129" t="s">
        <v>239</v>
      </c>
      <c r="E129" t="s">
        <v>11</v>
      </c>
      <c r="F129" t="s">
        <v>11</v>
      </c>
      <c r="G129" t="s">
        <v>12</v>
      </c>
      <c r="H129" t="s">
        <v>13</v>
      </c>
      <c r="I129" t="s">
        <v>13</v>
      </c>
    </row>
    <row r="130" spans="2:9" ht="13.5" customHeight="1" x14ac:dyDescent="0.3">
      <c r="B130" t="s">
        <v>273</v>
      </c>
      <c r="C130" t="s">
        <v>273</v>
      </c>
      <c r="D130" t="s">
        <v>239</v>
      </c>
      <c r="E130" t="s">
        <v>11</v>
      </c>
      <c r="F130" t="s">
        <v>11</v>
      </c>
      <c r="G130" t="s">
        <v>12</v>
      </c>
      <c r="H130" t="s">
        <v>13</v>
      </c>
      <c r="I130" t="s">
        <v>13</v>
      </c>
    </row>
    <row r="131" spans="2:9" ht="13.5" customHeight="1" x14ac:dyDescent="0.3">
      <c r="B131" t="s">
        <v>274</v>
      </c>
      <c r="C131" t="s">
        <v>275</v>
      </c>
      <c r="D131" t="s">
        <v>239</v>
      </c>
      <c r="E131" t="s">
        <v>11</v>
      </c>
      <c r="F131" t="s">
        <v>11</v>
      </c>
      <c r="G131" t="s">
        <v>12</v>
      </c>
      <c r="H131" t="s">
        <v>13</v>
      </c>
      <c r="I131" t="s">
        <v>13</v>
      </c>
    </row>
    <row r="132" spans="2:9" ht="13.5" customHeight="1" x14ac:dyDescent="0.3">
      <c r="B132" t="s">
        <v>276</v>
      </c>
      <c r="C132" t="s">
        <v>276</v>
      </c>
      <c r="D132" t="s">
        <v>239</v>
      </c>
      <c r="E132" t="s">
        <v>11</v>
      </c>
      <c r="F132" t="s">
        <v>11</v>
      </c>
      <c r="G132" t="s">
        <v>12</v>
      </c>
      <c r="H132" t="s">
        <v>13</v>
      </c>
      <c r="I132" t="s">
        <v>13</v>
      </c>
    </row>
    <row r="133" spans="2:9" ht="13.5" customHeight="1" x14ac:dyDescent="0.3">
      <c r="B133" t="s">
        <v>277</v>
      </c>
      <c r="C133" t="s">
        <v>277</v>
      </c>
      <c r="D133" t="s">
        <v>239</v>
      </c>
      <c r="E133" t="s">
        <v>11</v>
      </c>
      <c r="F133" t="s">
        <v>11</v>
      </c>
      <c r="G133" t="s">
        <v>12</v>
      </c>
      <c r="H133" t="s">
        <v>13</v>
      </c>
      <c r="I133" t="s">
        <v>13</v>
      </c>
    </row>
    <row r="134" spans="2:9" ht="13.5" customHeight="1" x14ac:dyDescent="0.3">
      <c r="B134" t="s">
        <v>278</v>
      </c>
      <c r="C134" t="s">
        <v>278</v>
      </c>
      <c r="D134" t="s">
        <v>239</v>
      </c>
      <c r="E134" t="s">
        <v>11</v>
      </c>
      <c r="F134" t="s">
        <v>11</v>
      </c>
      <c r="G134" t="s">
        <v>12</v>
      </c>
      <c r="H134" t="s">
        <v>13</v>
      </c>
      <c r="I134" t="s">
        <v>13</v>
      </c>
    </row>
    <row r="135" spans="2:9" ht="13.5" customHeight="1" x14ac:dyDescent="0.3">
      <c r="B135" t="s">
        <v>279</v>
      </c>
      <c r="C135" t="s">
        <v>280</v>
      </c>
      <c r="D135" t="s">
        <v>239</v>
      </c>
      <c r="E135" t="s">
        <v>11</v>
      </c>
      <c r="F135" t="s">
        <v>11</v>
      </c>
      <c r="G135" t="s">
        <v>12</v>
      </c>
      <c r="H135" t="s">
        <v>13</v>
      </c>
      <c r="I135" t="s">
        <v>13</v>
      </c>
    </row>
    <row r="136" spans="2:9" ht="13.5" customHeight="1" x14ac:dyDescent="0.3">
      <c r="B136" t="s">
        <v>281</v>
      </c>
      <c r="C136" t="s">
        <v>281</v>
      </c>
      <c r="D136" t="s">
        <v>239</v>
      </c>
      <c r="E136" t="s">
        <v>11</v>
      </c>
      <c r="F136" t="s">
        <v>11</v>
      </c>
      <c r="G136" t="s">
        <v>12</v>
      </c>
      <c r="H136" t="s">
        <v>13</v>
      </c>
      <c r="I136" t="s">
        <v>13</v>
      </c>
    </row>
    <row r="137" spans="2:9" ht="15" customHeight="1" x14ac:dyDescent="0.3">
      <c r="B137" t="s">
        <v>282</v>
      </c>
      <c r="C137" t="s">
        <v>282</v>
      </c>
      <c r="D137" t="s">
        <v>282</v>
      </c>
      <c r="E137" t="s">
        <v>283</v>
      </c>
      <c r="F137" t="s">
        <v>283</v>
      </c>
      <c r="G137" t="s">
        <v>284</v>
      </c>
      <c r="H137" t="s">
        <v>285</v>
      </c>
      <c r="I137" t="s">
        <v>285</v>
      </c>
    </row>
    <row r="138" spans="2:9" ht="15" customHeight="1" x14ac:dyDescent="0.3">
      <c r="B138" t="s">
        <v>286</v>
      </c>
      <c r="C138" t="s">
        <v>286</v>
      </c>
      <c r="D138" t="s">
        <v>286</v>
      </c>
      <c r="E138" t="s">
        <v>283</v>
      </c>
      <c r="F138" t="s">
        <v>283</v>
      </c>
      <c r="G138" t="s">
        <v>284</v>
      </c>
      <c r="H138" t="s">
        <v>13</v>
      </c>
      <c r="I138" t="s">
        <v>13</v>
      </c>
    </row>
    <row r="139" spans="2:9" ht="15" customHeight="1" x14ac:dyDescent="0.3">
      <c r="B139" t="s">
        <v>287</v>
      </c>
      <c r="C139" t="s">
        <v>287</v>
      </c>
      <c r="D139" t="s">
        <v>287</v>
      </c>
      <c r="E139" t="s">
        <v>283</v>
      </c>
      <c r="F139" t="s">
        <v>283</v>
      </c>
      <c r="G139" t="s">
        <v>284</v>
      </c>
      <c r="H139" t="s">
        <v>288</v>
      </c>
      <c r="I139" t="s">
        <v>288</v>
      </c>
    </row>
    <row r="1048574" ht="12.75" customHeight="1" x14ac:dyDescent="0.3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3"/>
  <sheetViews>
    <sheetView zoomScaleNormal="100" workbookViewId="0">
      <selection activeCell="F25" sqref="F25"/>
    </sheetView>
  </sheetViews>
  <sheetFormatPr defaultColWidth="8.5546875" defaultRowHeight="14.25" customHeight="1" x14ac:dyDescent="0.3"/>
  <cols>
    <col min="1" max="1" width="23.5546875" style="1" customWidth="1"/>
    <col min="2" max="2" width="18.33203125" style="1" customWidth="1"/>
    <col min="10" max="10" width="12.5546875" style="1" customWidth="1"/>
  </cols>
  <sheetData>
    <row r="2" spans="1:11" ht="15" customHeight="1" x14ac:dyDescent="0.3">
      <c r="E2" s="18" t="s">
        <v>289</v>
      </c>
      <c r="F2" s="19"/>
      <c r="G2" s="19"/>
      <c r="H2" s="19"/>
      <c r="I2" s="19"/>
      <c r="J2" s="19"/>
      <c r="K2" s="20"/>
    </row>
    <row r="3" spans="1:11" ht="75" customHeight="1" x14ac:dyDescent="0.3">
      <c r="E3" s="3" t="s">
        <v>290</v>
      </c>
      <c r="F3" s="4" t="s">
        <v>291</v>
      </c>
      <c r="G3" s="4" t="s">
        <v>292</v>
      </c>
      <c r="H3" s="4" t="s">
        <v>293</v>
      </c>
      <c r="I3" s="4" t="s">
        <v>294</v>
      </c>
      <c r="J3" s="4" t="s">
        <v>295</v>
      </c>
      <c r="K3" s="4" t="s">
        <v>296</v>
      </c>
    </row>
    <row r="4" spans="1:11" ht="15" customHeight="1" x14ac:dyDescent="0.3">
      <c r="E4" s="3" t="s">
        <v>297</v>
      </c>
      <c r="F4" s="3">
        <v>12</v>
      </c>
      <c r="G4" s="3">
        <v>12</v>
      </c>
      <c r="H4" s="3">
        <v>0</v>
      </c>
      <c r="I4" s="3">
        <v>1000</v>
      </c>
      <c r="J4" s="3">
        <v>1</v>
      </c>
      <c r="K4" s="3" t="s">
        <v>11</v>
      </c>
    </row>
    <row r="5" spans="1:11" ht="15" customHeight="1" x14ac:dyDescent="0.3">
      <c r="E5" s="3" t="s">
        <v>298</v>
      </c>
      <c r="F5" s="3">
        <v>12</v>
      </c>
      <c r="G5" s="3">
        <v>12</v>
      </c>
      <c r="H5" s="3">
        <v>1001</v>
      </c>
      <c r="I5" s="3">
        <v>1500</v>
      </c>
      <c r="J5" s="3">
        <v>2</v>
      </c>
      <c r="K5" s="3" t="s">
        <v>283</v>
      </c>
    </row>
    <row r="6" spans="1:11" ht="15" customHeight="1" x14ac:dyDescent="0.3">
      <c r="E6" s="3" t="s">
        <v>299</v>
      </c>
      <c r="F6" s="3">
        <v>12</v>
      </c>
      <c r="G6" s="3">
        <v>12</v>
      </c>
      <c r="H6" s="3">
        <v>1501</v>
      </c>
      <c r="I6" s="3">
        <v>10000</v>
      </c>
      <c r="J6" s="3">
        <v>3</v>
      </c>
      <c r="K6" s="3" t="s">
        <v>283</v>
      </c>
    </row>
    <row r="8" spans="1:11" ht="15" customHeight="1" x14ac:dyDescent="0.3">
      <c r="A8" t="s">
        <v>300</v>
      </c>
      <c r="B8">
        <v>1</v>
      </c>
    </row>
    <row r="9" spans="1:11" ht="15" customHeight="1" x14ac:dyDescent="0.3">
      <c r="A9" t="s">
        <v>301</v>
      </c>
      <c r="B9">
        <v>100</v>
      </c>
    </row>
    <row r="10" spans="1:11" ht="15" customHeight="1" x14ac:dyDescent="0.3">
      <c r="A10" t="s">
        <v>302</v>
      </c>
      <c r="B10">
        <v>20</v>
      </c>
    </row>
    <row r="11" spans="1:11" ht="15" customHeight="1" x14ac:dyDescent="0.3">
      <c r="A11" t="s">
        <v>303</v>
      </c>
      <c r="B11">
        <v>10000</v>
      </c>
    </row>
    <row r="12" spans="1:11" ht="15" customHeight="1" x14ac:dyDescent="0.3">
      <c r="A12" t="s">
        <v>304</v>
      </c>
      <c r="B12">
        <v>500</v>
      </c>
    </row>
    <row r="13" spans="1:11" ht="15" customHeight="1" x14ac:dyDescent="0.3">
      <c r="A13" t="s">
        <v>305</v>
      </c>
      <c r="B13" s="5">
        <v>44902.376571435183</v>
      </c>
    </row>
  </sheetData>
  <mergeCells count="1">
    <mergeCell ref="E2:K2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"/>
  <sheetViews>
    <sheetView topLeftCell="M1" zoomScaleNormal="100" workbookViewId="0">
      <pane ySplit="1" topLeftCell="A2" activePane="bottomLeft" state="frozen"/>
      <selection activeCell="E1" sqref="E1"/>
      <selection pane="bottomLeft" activeCell="T18" sqref="T18"/>
    </sheetView>
  </sheetViews>
  <sheetFormatPr defaultColWidth="8.6640625" defaultRowHeight="14.25" customHeight="1" x14ac:dyDescent="0.3"/>
  <cols>
    <col min="2" max="4" width="20.33203125" style="1" customWidth="1"/>
    <col min="6" max="6" width="14.44140625" style="1" customWidth="1"/>
    <col min="7" max="7" width="16" style="1" customWidth="1"/>
    <col min="8" max="9" width="20.33203125" style="1" customWidth="1"/>
    <col min="10" max="12" width="15" style="1" customWidth="1"/>
    <col min="13" max="13" width="18.21875" style="1" customWidth="1"/>
    <col min="15" max="16" width="14" style="1" customWidth="1"/>
    <col min="17" max="17" width="10.44140625" style="1" customWidth="1"/>
    <col min="18" max="18" width="11.6640625" style="1" customWidth="1"/>
    <col min="19" max="19" width="14.44140625" style="1" customWidth="1"/>
    <col min="20" max="20" width="17.33203125" style="1" customWidth="1"/>
    <col min="21" max="24" width="16.5546875" style="1" customWidth="1"/>
    <col min="25" max="25" width="17.33203125" style="1" customWidth="1"/>
    <col min="26" max="26" width="15.109375" style="1" customWidth="1"/>
    <col min="28" max="28" width="14.88671875" style="1" bestFit="1" customWidth="1"/>
    <col min="29" max="29" width="12.21875" style="1" bestFit="1" customWidth="1"/>
  </cols>
  <sheetData>
    <row r="1" spans="1:29" ht="15" customHeight="1" x14ac:dyDescent="0.3">
      <c r="B1" s="2" t="s">
        <v>0</v>
      </c>
      <c r="C1" s="2" t="s">
        <v>1</v>
      </c>
      <c r="D1" s="2" t="s">
        <v>2</v>
      </c>
      <c r="E1" s="7" t="s">
        <v>3</v>
      </c>
      <c r="F1" s="7" t="s">
        <v>4</v>
      </c>
      <c r="G1" s="2" t="s">
        <v>5</v>
      </c>
      <c r="H1" s="2" t="s">
        <v>6</v>
      </c>
      <c r="I1" s="2" t="s">
        <v>7</v>
      </c>
      <c r="J1" s="2" t="s">
        <v>306</v>
      </c>
      <c r="K1" s="2" t="s">
        <v>307</v>
      </c>
      <c r="L1" s="2" t="s">
        <v>308</v>
      </c>
      <c r="M1" s="6" t="s">
        <v>309</v>
      </c>
      <c r="N1" s="7" t="s">
        <v>310</v>
      </c>
      <c r="O1" s="7" t="s">
        <v>311</v>
      </c>
      <c r="P1" s="7" t="s">
        <v>312</v>
      </c>
      <c r="Q1" s="7" t="s">
        <v>313</v>
      </c>
      <c r="R1" s="8" t="s">
        <v>314</v>
      </c>
      <c r="S1" s="7" t="s">
        <v>315</v>
      </c>
      <c r="T1" s="2" t="s">
        <v>316</v>
      </c>
      <c r="U1" s="6" t="s">
        <v>317</v>
      </c>
      <c r="V1" s="7" t="s">
        <v>318</v>
      </c>
      <c r="W1" s="7" t="s">
        <v>319</v>
      </c>
      <c r="X1" s="7" t="s">
        <v>320</v>
      </c>
      <c r="Y1" s="9" t="s">
        <v>321</v>
      </c>
      <c r="Z1" s="11" t="s">
        <v>322</v>
      </c>
      <c r="AA1" t="s">
        <v>323</v>
      </c>
      <c r="AB1" s="11" t="s">
        <v>324</v>
      </c>
      <c r="AC1" t="s">
        <v>325</v>
      </c>
    </row>
    <row r="2" spans="1:29" ht="13.5" customHeight="1" x14ac:dyDescent="0.3">
      <c r="A2" s="2"/>
      <c r="B2" s="16" t="s">
        <v>326</v>
      </c>
      <c r="C2" s="16" t="s">
        <v>326</v>
      </c>
      <c r="D2" s="16" t="s">
        <v>326</v>
      </c>
      <c r="E2" t="s">
        <v>11</v>
      </c>
      <c r="F2" t="s">
        <v>11</v>
      </c>
      <c r="G2" t="s">
        <v>6</v>
      </c>
      <c r="H2" s="16" t="s">
        <v>326</v>
      </c>
      <c r="I2" s="16" t="s">
        <v>326</v>
      </c>
      <c r="J2" s="1">
        <v>1</v>
      </c>
      <c r="K2" s="1">
        <v>0</v>
      </c>
      <c r="L2" s="1">
        <v>0</v>
      </c>
      <c r="M2">
        <v>5</v>
      </c>
      <c r="N2">
        <v>1</v>
      </c>
      <c r="O2">
        <v>12</v>
      </c>
      <c r="P2">
        <v>30</v>
      </c>
      <c r="Q2">
        <v>0</v>
      </c>
      <c r="R2">
        <v>100</v>
      </c>
      <c r="S2" s="1">
        <v>0</v>
      </c>
      <c r="T2">
        <v>20</v>
      </c>
      <c r="U2">
        <v>20</v>
      </c>
      <c r="V2">
        <v>0</v>
      </c>
      <c r="W2">
        <v>0</v>
      </c>
      <c r="X2">
        <v>50</v>
      </c>
      <c r="Y2">
        <v>60</v>
      </c>
      <c r="Z2">
        <v>100</v>
      </c>
      <c r="AA2">
        <v>10</v>
      </c>
      <c r="AB2">
        <v>50</v>
      </c>
      <c r="AC2" s="1">
        <v>3600</v>
      </c>
    </row>
    <row r="3" spans="1:29" ht="13.5" customHeight="1" x14ac:dyDescent="0.3">
      <c r="B3" t="s">
        <v>327</v>
      </c>
      <c r="C3" t="s">
        <v>327</v>
      </c>
      <c r="D3" t="s">
        <v>327</v>
      </c>
      <c r="E3" t="s">
        <v>11</v>
      </c>
      <c r="F3" t="s">
        <v>11</v>
      </c>
      <c r="G3" t="s">
        <v>6</v>
      </c>
      <c r="H3" t="s">
        <v>327</v>
      </c>
      <c r="I3" t="s">
        <v>327</v>
      </c>
      <c r="J3" s="1">
        <v>1</v>
      </c>
      <c r="K3" s="1">
        <v>0</v>
      </c>
      <c r="L3" s="1">
        <v>0</v>
      </c>
      <c r="M3">
        <v>5</v>
      </c>
      <c r="N3">
        <v>1</v>
      </c>
      <c r="O3">
        <v>12</v>
      </c>
      <c r="P3">
        <v>30</v>
      </c>
      <c r="Q3">
        <v>0</v>
      </c>
      <c r="R3">
        <v>100</v>
      </c>
      <c r="S3" s="1">
        <v>0</v>
      </c>
      <c r="T3">
        <v>2</v>
      </c>
      <c r="U3">
        <v>2</v>
      </c>
      <c r="V3">
        <v>0</v>
      </c>
      <c r="W3">
        <v>0</v>
      </c>
      <c r="X3">
        <v>50</v>
      </c>
      <c r="Y3">
        <v>60</v>
      </c>
      <c r="Z3">
        <v>100</v>
      </c>
      <c r="AA3">
        <v>250</v>
      </c>
      <c r="AB3">
        <v>5</v>
      </c>
      <c r="AC3" s="1">
        <f>3600*2</f>
        <v>7200</v>
      </c>
    </row>
    <row r="4" spans="1:29" s="1" customFormat="1" ht="13.5" customHeight="1" x14ac:dyDescent="0.3">
      <c r="B4" s="1" t="s">
        <v>380</v>
      </c>
      <c r="C4" s="1" t="s">
        <v>380</v>
      </c>
      <c r="D4" s="1" t="s">
        <v>380</v>
      </c>
      <c r="E4" s="1" t="s">
        <v>11</v>
      </c>
      <c r="F4" s="1" t="s">
        <v>11</v>
      </c>
      <c r="G4" s="1" t="s">
        <v>6</v>
      </c>
      <c r="H4" s="1" t="s">
        <v>380</v>
      </c>
      <c r="I4" s="1" t="s">
        <v>380</v>
      </c>
      <c r="J4" s="1">
        <v>1</v>
      </c>
      <c r="K4" s="1">
        <v>0.5</v>
      </c>
      <c r="L4" s="1">
        <v>0.5</v>
      </c>
      <c r="M4" s="1">
        <v>1</v>
      </c>
      <c r="N4" s="1">
        <v>1</v>
      </c>
      <c r="O4" s="1">
        <v>12</v>
      </c>
      <c r="P4" s="1">
        <v>30</v>
      </c>
      <c r="Q4" s="1">
        <v>0</v>
      </c>
      <c r="R4" s="1">
        <v>100</v>
      </c>
      <c r="S4" s="1">
        <v>0</v>
      </c>
      <c r="T4" s="1">
        <v>2</v>
      </c>
      <c r="U4" s="1">
        <v>2</v>
      </c>
      <c r="V4" s="1">
        <v>0</v>
      </c>
      <c r="W4" s="1">
        <v>0</v>
      </c>
      <c r="X4" s="1">
        <v>50</v>
      </c>
      <c r="Y4" s="1">
        <v>60</v>
      </c>
      <c r="Z4" s="1">
        <v>100</v>
      </c>
      <c r="AA4" s="1">
        <v>1250</v>
      </c>
      <c r="AB4" s="1">
        <v>5</v>
      </c>
      <c r="AC4" s="1">
        <f>3600*2</f>
        <v>7200</v>
      </c>
    </row>
    <row r="5" spans="1:29" s="1" customFormat="1" ht="13.5" customHeight="1" x14ac:dyDescent="0.3">
      <c r="B5" s="1" t="s">
        <v>378</v>
      </c>
      <c r="C5" s="1" t="s">
        <v>378</v>
      </c>
      <c r="D5" s="1" t="s">
        <v>378</v>
      </c>
      <c r="E5" s="1" t="s">
        <v>11</v>
      </c>
      <c r="F5" s="1" t="s">
        <v>11</v>
      </c>
      <c r="G5" s="1" t="s">
        <v>6</v>
      </c>
      <c r="H5" s="1" t="s">
        <v>378</v>
      </c>
      <c r="I5" s="1" t="s">
        <v>378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12</v>
      </c>
      <c r="P5" s="1">
        <v>30</v>
      </c>
      <c r="Q5" s="1">
        <v>0</v>
      </c>
      <c r="R5" s="1">
        <v>100</v>
      </c>
      <c r="S5" s="1">
        <v>0</v>
      </c>
      <c r="T5" s="1">
        <v>2</v>
      </c>
      <c r="U5" s="1">
        <v>2</v>
      </c>
      <c r="V5" s="1">
        <v>0</v>
      </c>
      <c r="W5" s="1">
        <v>0</v>
      </c>
      <c r="X5" s="1">
        <v>50</v>
      </c>
      <c r="Y5" s="1">
        <v>60</v>
      </c>
      <c r="Z5" s="1">
        <v>100</v>
      </c>
      <c r="AA5" s="1">
        <v>100</v>
      </c>
      <c r="AB5" s="1">
        <v>5</v>
      </c>
      <c r="AC5" s="1">
        <f t="shared" ref="AC5:AC6" si="0">3600*2</f>
        <v>7200</v>
      </c>
    </row>
    <row r="6" spans="1:29" s="1" customFormat="1" ht="13.5" customHeight="1" x14ac:dyDescent="0.3">
      <c r="B6" s="1" t="s">
        <v>379</v>
      </c>
      <c r="C6" s="1" t="s">
        <v>379</v>
      </c>
      <c r="D6" s="1" t="s">
        <v>379</v>
      </c>
      <c r="E6" s="1" t="s">
        <v>11</v>
      </c>
      <c r="F6" s="1" t="s">
        <v>11</v>
      </c>
      <c r="G6" s="1" t="s">
        <v>6</v>
      </c>
      <c r="H6" s="1" t="s">
        <v>379</v>
      </c>
      <c r="I6" s="1" t="s">
        <v>379</v>
      </c>
      <c r="J6" s="1">
        <v>1</v>
      </c>
      <c r="K6" s="1">
        <v>0</v>
      </c>
      <c r="L6" s="1">
        <v>0</v>
      </c>
      <c r="M6" s="1">
        <v>1</v>
      </c>
      <c r="N6" s="1">
        <v>1</v>
      </c>
      <c r="O6" s="1">
        <v>12</v>
      </c>
      <c r="P6" s="1">
        <v>30</v>
      </c>
      <c r="Q6" s="1">
        <v>0</v>
      </c>
      <c r="R6" s="1">
        <v>100</v>
      </c>
      <c r="S6" s="1">
        <v>0</v>
      </c>
      <c r="T6" s="1">
        <v>2</v>
      </c>
      <c r="U6" s="1">
        <v>2</v>
      </c>
      <c r="V6" s="1">
        <v>0</v>
      </c>
      <c r="W6" s="1">
        <v>0</v>
      </c>
      <c r="X6" s="1">
        <v>50</v>
      </c>
      <c r="Y6" s="1">
        <v>60</v>
      </c>
      <c r="Z6" s="1">
        <v>100</v>
      </c>
      <c r="AA6" s="1">
        <v>5</v>
      </c>
      <c r="AB6" s="1">
        <v>5</v>
      </c>
      <c r="AC6" s="1">
        <f t="shared" si="0"/>
        <v>7200</v>
      </c>
    </row>
    <row r="7" spans="1:29" s="1" customFormat="1" ht="13.5" customHeight="1" x14ac:dyDescent="0.3">
      <c r="B7" s="10" t="s">
        <v>13</v>
      </c>
      <c r="C7" s="1" t="s">
        <v>13</v>
      </c>
      <c r="D7" s="1" t="s">
        <v>13</v>
      </c>
      <c r="E7" s="1" t="s">
        <v>11</v>
      </c>
      <c r="F7" s="1" t="s">
        <v>11</v>
      </c>
      <c r="G7" s="1" t="s">
        <v>6</v>
      </c>
      <c r="H7" s="1" t="s">
        <v>13</v>
      </c>
      <c r="I7" s="1" t="s">
        <v>13</v>
      </c>
      <c r="J7" s="1">
        <v>1</v>
      </c>
      <c r="K7" s="1">
        <v>0.5</v>
      </c>
      <c r="L7" s="1">
        <v>0.5</v>
      </c>
      <c r="M7" s="1">
        <v>1</v>
      </c>
      <c r="N7" s="1">
        <v>1</v>
      </c>
      <c r="O7" s="1">
        <v>12</v>
      </c>
      <c r="P7" s="1">
        <v>30</v>
      </c>
      <c r="Q7" s="1">
        <v>0</v>
      </c>
      <c r="R7" s="1">
        <v>100</v>
      </c>
      <c r="S7" s="1">
        <v>0</v>
      </c>
      <c r="T7" s="1">
        <v>25</v>
      </c>
      <c r="U7" s="1">
        <v>25</v>
      </c>
      <c r="V7" s="1">
        <v>0</v>
      </c>
      <c r="W7" s="1">
        <v>0</v>
      </c>
      <c r="X7" s="1">
        <v>50</v>
      </c>
      <c r="Y7" s="1">
        <v>60</v>
      </c>
      <c r="Z7" s="1">
        <v>200</v>
      </c>
      <c r="AA7" s="1">
        <v>1</v>
      </c>
      <c r="AB7" s="1">
        <v>50</v>
      </c>
      <c r="AC7" s="1">
        <v>7200</v>
      </c>
    </row>
    <row r="8" spans="1:29" s="1" customFormat="1" ht="15" customHeight="1" x14ac:dyDescent="0.3">
      <c r="B8" s="10" t="s">
        <v>288</v>
      </c>
      <c r="C8" s="1" t="s">
        <v>288</v>
      </c>
      <c r="D8" s="1" t="s">
        <v>288</v>
      </c>
      <c r="E8" s="1" t="s">
        <v>11</v>
      </c>
      <c r="F8" s="1" t="s">
        <v>11</v>
      </c>
      <c r="G8" s="1" t="s">
        <v>6</v>
      </c>
      <c r="H8" s="1" t="s">
        <v>288</v>
      </c>
      <c r="I8" s="1" t="s">
        <v>288</v>
      </c>
      <c r="J8" s="1">
        <v>1</v>
      </c>
      <c r="K8" s="1">
        <v>0</v>
      </c>
      <c r="L8" s="1">
        <v>0</v>
      </c>
      <c r="M8" s="1">
        <v>1</v>
      </c>
      <c r="N8" s="1">
        <v>1</v>
      </c>
      <c r="O8" s="1">
        <v>35</v>
      </c>
      <c r="P8" s="1">
        <v>60</v>
      </c>
      <c r="Q8" s="1">
        <v>0</v>
      </c>
      <c r="R8" s="1">
        <v>200</v>
      </c>
      <c r="S8" s="1">
        <v>0</v>
      </c>
      <c r="T8" s="1">
        <v>50</v>
      </c>
      <c r="U8" s="1">
        <v>50</v>
      </c>
      <c r="V8" s="1">
        <v>0</v>
      </c>
      <c r="W8" s="1">
        <v>0</v>
      </c>
      <c r="X8" s="1">
        <v>100</v>
      </c>
      <c r="Y8" s="1">
        <v>120</v>
      </c>
      <c r="Z8" s="1">
        <v>200</v>
      </c>
      <c r="AA8" s="1">
        <v>1</v>
      </c>
      <c r="AB8" s="1">
        <v>50</v>
      </c>
      <c r="AC8" s="1">
        <v>3600</v>
      </c>
    </row>
    <row r="9" spans="1:29" s="1" customFormat="1" ht="14.25" customHeight="1" x14ac:dyDescent="0.3">
      <c r="B9" s="1" t="s">
        <v>381</v>
      </c>
      <c r="C9" s="1" t="s">
        <v>381</v>
      </c>
      <c r="D9" s="1" t="s">
        <v>381</v>
      </c>
      <c r="E9" s="1" t="s">
        <v>11</v>
      </c>
      <c r="F9" s="1" t="s">
        <v>11</v>
      </c>
      <c r="G9" s="1" t="s">
        <v>6</v>
      </c>
      <c r="H9" s="1" t="s">
        <v>381</v>
      </c>
      <c r="I9" s="1" t="s">
        <v>381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35</v>
      </c>
      <c r="P9" s="1">
        <v>60</v>
      </c>
      <c r="Q9" s="1">
        <v>0</v>
      </c>
      <c r="R9" s="1">
        <v>200</v>
      </c>
      <c r="S9" s="1">
        <v>0</v>
      </c>
      <c r="T9" s="1">
        <v>60</v>
      </c>
      <c r="U9" s="1">
        <v>60</v>
      </c>
      <c r="V9" s="1">
        <v>0</v>
      </c>
      <c r="W9" s="1">
        <v>0</v>
      </c>
      <c r="X9" s="1">
        <v>100</v>
      </c>
      <c r="Y9" s="1">
        <v>120</v>
      </c>
      <c r="Z9" s="1">
        <v>200</v>
      </c>
      <c r="AA9" s="1">
        <v>1</v>
      </c>
      <c r="AB9" s="1">
        <v>50</v>
      </c>
      <c r="AC9" s="1">
        <v>7200</v>
      </c>
    </row>
    <row r="10" spans="1:29" s="1" customFormat="1" ht="15" customHeight="1" x14ac:dyDescent="0.3">
      <c r="B10" s="1" t="s">
        <v>285</v>
      </c>
      <c r="C10" s="1" t="s">
        <v>285</v>
      </c>
      <c r="D10" s="1" t="s">
        <v>285</v>
      </c>
      <c r="E10" s="1" t="s">
        <v>11</v>
      </c>
      <c r="F10" s="1" t="s">
        <v>11</v>
      </c>
      <c r="G10" s="1" t="s">
        <v>6</v>
      </c>
      <c r="H10" s="1" t="s">
        <v>285</v>
      </c>
      <c r="I10" s="1" t="s">
        <v>285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  <c r="O10" s="1">
        <v>35</v>
      </c>
      <c r="P10" s="1">
        <v>60</v>
      </c>
      <c r="Q10" s="1">
        <v>0</v>
      </c>
      <c r="R10" s="1">
        <v>200</v>
      </c>
      <c r="S10" s="1">
        <v>0</v>
      </c>
      <c r="T10" s="1">
        <v>60</v>
      </c>
      <c r="U10" s="1">
        <v>60</v>
      </c>
      <c r="V10" s="1">
        <v>0</v>
      </c>
      <c r="W10" s="1">
        <v>0</v>
      </c>
      <c r="X10" s="1">
        <v>100</v>
      </c>
      <c r="Y10" s="1">
        <v>120</v>
      </c>
      <c r="Z10" s="1">
        <v>200</v>
      </c>
      <c r="AA10" s="1">
        <v>1</v>
      </c>
      <c r="AB10" s="1">
        <v>50</v>
      </c>
      <c r="AC10" s="1">
        <v>7200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2"/>
  <sheetViews>
    <sheetView topLeftCell="A7" zoomScaleNormal="100" workbookViewId="0">
      <selection activeCell="E17" sqref="E17"/>
    </sheetView>
  </sheetViews>
  <sheetFormatPr defaultColWidth="8.5546875" defaultRowHeight="14.25" customHeight="1" x14ac:dyDescent="0.3"/>
  <cols>
    <col min="1" max="1" width="31.6640625" style="1" customWidth="1"/>
    <col min="2" max="2" width="18.33203125" style="1" customWidth="1"/>
    <col min="5" max="5" width="16" style="1" customWidth="1"/>
    <col min="8" max="8" width="8.33203125" style="1" customWidth="1"/>
    <col min="9" max="9" width="8.44140625" style="1" customWidth="1"/>
    <col min="10" max="10" width="12.5546875" style="1" customWidth="1"/>
  </cols>
  <sheetData>
    <row r="2" spans="1:11" ht="15" customHeight="1" x14ac:dyDescent="0.3">
      <c r="E2" s="18" t="s">
        <v>289</v>
      </c>
      <c r="F2" s="19"/>
      <c r="G2" s="19"/>
      <c r="H2" s="19"/>
      <c r="I2" s="19"/>
      <c r="J2" s="19"/>
      <c r="K2" s="20"/>
    </row>
    <row r="3" spans="1:11" ht="75" customHeight="1" x14ac:dyDescent="0.3">
      <c r="E3" s="12" t="s">
        <v>290</v>
      </c>
      <c r="F3" s="13" t="s">
        <v>331</v>
      </c>
      <c r="G3" s="13" t="s">
        <v>332</v>
      </c>
      <c r="H3" s="13" t="s">
        <v>293</v>
      </c>
      <c r="I3" s="13" t="s">
        <v>294</v>
      </c>
      <c r="J3" s="13" t="s">
        <v>295</v>
      </c>
      <c r="K3" s="13" t="s">
        <v>296</v>
      </c>
    </row>
    <row r="4" spans="1:11" ht="15" customHeight="1" x14ac:dyDescent="0.3">
      <c r="E4" s="12" t="s">
        <v>333</v>
      </c>
      <c r="F4" s="12">
        <v>0</v>
      </c>
      <c r="G4" s="12">
        <v>0</v>
      </c>
      <c r="H4" s="12"/>
      <c r="I4" s="12"/>
      <c r="J4" s="12">
        <v>2</v>
      </c>
      <c r="K4" s="12">
        <v>0</v>
      </c>
    </row>
    <row r="5" spans="1:11" ht="15" customHeight="1" x14ac:dyDescent="0.3">
      <c r="E5" s="12" t="s">
        <v>334</v>
      </c>
      <c r="F5" s="12">
        <v>1</v>
      </c>
      <c r="G5" s="12">
        <v>1</v>
      </c>
      <c r="H5" s="12"/>
      <c r="I5" s="12"/>
      <c r="J5" s="12">
        <v>1</v>
      </c>
      <c r="K5" s="12">
        <v>1</v>
      </c>
    </row>
    <row r="6" spans="1:11" ht="15" customHeight="1" x14ac:dyDescent="0.3">
      <c r="E6" s="12" t="s">
        <v>335</v>
      </c>
      <c r="F6" s="12">
        <v>0</v>
      </c>
      <c r="G6" s="12">
        <v>0</v>
      </c>
      <c r="H6" s="12"/>
      <c r="I6" s="12"/>
      <c r="J6" s="12">
        <v>1</v>
      </c>
      <c r="K6" s="12">
        <v>1</v>
      </c>
    </row>
    <row r="8" spans="1:11" ht="15" customHeight="1" x14ac:dyDescent="0.3">
      <c r="A8" s="11" t="s">
        <v>300</v>
      </c>
      <c r="B8" s="11">
        <v>1</v>
      </c>
    </row>
    <row r="9" spans="1:11" ht="15" customHeight="1" x14ac:dyDescent="0.3">
      <c r="A9" s="11" t="s">
        <v>301</v>
      </c>
      <c r="B9" s="11">
        <v>100</v>
      </c>
    </row>
    <row r="10" spans="1:11" ht="15" customHeight="1" x14ac:dyDescent="0.3">
      <c r="A10" t="s">
        <v>302</v>
      </c>
      <c r="B10">
        <v>0</v>
      </c>
    </row>
    <row r="11" spans="1:11" ht="15" customHeight="1" x14ac:dyDescent="0.3">
      <c r="A11" s="11" t="s">
        <v>303</v>
      </c>
      <c r="B11" s="11">
        <v>120000</v>
      </c>
    </row>
    <row r="12" spans="1:11" ht="15" customHeight="1" x14ac:dyDescent="0.3">
      <c r="A12" s="11" t="s">
        <v>304</v>
      </c>
      <c r="B12" s="11">
        <v>500</v>
      </c>
    </row>
    <row r="13" spans="1:11" ht="15" customHeight="1" x14ac:dyDescent="0.3">
      <c r="A13" s="11" t="s">
        <v>305</v>
      </c>
      <c r="B13" s="5" t="s">
        <v>336</v>
      </c>
    </row>
    <row r="14" spans="1:11" ht="15" customHeight="1" x14ac:dyDescent="0.3">
      <c r="A14" t="s">
        <v>337</v>
      </c>
      <c r="B14">
        <v>0</v>
      </c>
    </row>
    <row r="15" spans="1:11" ht="15" customHeight="1" x14ac:dyDescent="0.3">
      <c r="A15" s="11" t="s">
        <v>338</v>
      </c>
      <c r="B15" s="11">
        <v>20</v>
      </c>
    </row>
    <row r="16" spans="1:11" ht="15" customHeight="1" x14ac:dyDescent="0.3">
      <c r="A16" t="s">
        <v>339</v>
      </c>
      <c r="B16">
        <v>1</v>
      </c>
    </row>
    <row r="17" spans="1:2" ht="15" customHeight="1" x14ac:dyDescent="0.3">
      <c r="A17" t="s">
        <v>340</v>
      </c>
      <c r="B17">
        <v>1</v>
      </c>
    </row>
    <row r="18" spans="1:2" ht="15" customHeight="1" x14ac:dyDescent="0.3">
      <c r="A18" s="14" t="s">
        <v>341</v>
      </c>
      <c r="B18" s="14" t="s">
        <v>342</v>
      </c>
    </row>
    <row r="19" spans="1:2" ht="15" customHeight="1" x14ac:dyDescent="0.3">
      <c r="A19" s="14" t="s">
        <v>343</v>
      </c>
      <c r="B19" s="14" t="s">
        <v>344</v>
      </c>
    </row>
    <row r="20" spans="1:2" ht="15" customHeight="1" x14ac:dyDescent="0.3">
      <c r="A20" t="s">
        <v>345</v>
      </c>
      <c r="B20">
        <v>0</v>
      </c>
    </row>
    <row r="21" spans="1:2" ht="15" customHeight="1" x14ac:dyDescent="0.3">
      <c r="A21" t="s">
        <v>346</v>
      </c>
      <c r="B21">
        <v>500000000</v>
      </c>
    </row>
    <row r="22" spans="1:2" ht="14.25" customHeight="1" x14ac:dyDescent="0.3">
      <c r="A22" t="s">
        <v>347</v>
      </c>
      <c r="B22">
        <v>0</v>
      </c>
    </row>
  </sheetData>
  <mergeCells count="1">
    <mergeCell ref="E2:K2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6"/>
  <sheetViews>
    <sheetView tabSelected="1" topLeftCell="H1" zoomScaleNormal="100" workbookViewId="0">
      <selection activeCell="L23" sqref="L23"/>
    </sheetView>
  </sheetViews>
  <sheetFormatPr defaultColWidth="8.6640625" defaultRowHeight="14.25" customHeight="1" x14ac:dyDescent="0.3"/>
  <cols>
    <col min="2" max="2" width="11.88671875" style="1" customWidth="1"/>
    <col min="3" max="3" width="15.109375" style="11" customWidth="1"/>
    <col min="4" max="4" width="11.88671875" style="11" customWidth="1"/>
    <col min="5" max="5" width="15" style="1" customWidth="1"/>
    <col min="6" max="6" width="14.109375" style="1" customWidth="1"/>
    <col min="7" max="7" width="9.33203125" style="1" customWidth="1"/>
    <col min="8" max="9" width="17.33203125" style="1" customWidth="1"/>
    <col min="10" max="10" width="15" style="1" customWidth="1"/>
    <col min="11" max="12" width="19.33203125" style="1" customWidth="1"/>
    <col min="13" max="14" width="17.33203125" style="1" customWidth="1"/>
    <col min="15" max="15" width="13" style="1" customWidth="1"/>
    <col min="16" max="16" width="14" style="1" customWidth="1"/>
    <col min="17" max="17" width="15.33203125" style="1" customWidth="1"/>
    <col min="18" max="18" width="10.44140625" style="1" customWidth="1"/>
    <col min="19" max="19" width="11.6640625" style="1" customWidth="1"/>
    <col min="20" max="20" width="14.44140625" style="1" customWidth="1"/>
    <col min="21" max="21" width="17.33203125" style="1" customWidth="1"/>
    <col min="22" max="22" width="18.88671875" style="1" customWidth="1"/>
    <col min="23" max="25" width="16.5546875" style="1" customWidth="1"/>
    <col min="26" max="26" width="17.33203125" style="1" customWidth="1"/>
    <col min="27" max="27" width="17.5546875" style="1" customWidth="1"/>
    <col min="29" max="29" width="14.88671875" style="1" bestFit="1" customWidth="1"/>
    <col min="30" max="30" width="12.21875" style="1" bestFit="1" customWidth="1"/>
    <col min="31" max="31" width="14.88671875" bestFit="1" customWidth="1"/>
  </cols>
  <sheetData>
    <row r="1" spans="2:32" ht="15" customHeight="1" x14ac:dyDescent="0.3">
      <c r="B1" s="2" t="s">
        <v>0</v>
      </c>
      <c r="C1" s="7" t="s">
        <v>328</v>
      </c>
      <c r="D1" s="7" t="s">
        <v>2</v>
      </c>
      <c r="E1" s="7" t="s">
        <v>3</v>
      </c>
      <c r="F1" s="7" t="s">
        <v>4</v>
      </c>
      <c r="G1" s="2" t="s">
        <v>329</v>
      </c>
      <c r="H1" s="2" t="s">
        <v>6</v>
      </c>
      <c r="I1" s="2" t="s">
        <v>7</v>
      </c>
      <c r="J1" s="2" t="s">
        <v>306</v>
      </c>
      <c r="K1" s="6" t="s">
        <v>309</v>
      </c>
      <c r="L1" s="6" t="s">
        <v>388</v>
      </c>
      <c r="M1" s="2" t="s">
        <v>307</v>
      </c>
      <c r="N1" s="2" t="s">
        <v>308</v>
      </c>
      <c r="O1" s="7" t="s">
        <v>310</v>
      </c>
      <c r="P1" s="7" t="s">
        <v>311</v>
      </c>
      <c r="Q1" s="7" t="s">
        <v>312</v>
      </c>
      <c r="R1" s="7" t="s">
        <v>313</v>
      </c>
      <c r="S1" s="8" t="s">
        <v>314</v>
      </c>
      <c r="T1" s="7" t="s">
        <v>315</v>
      </c>
      <c r="U1" s="6" t="s">
        <v>316</v>
      </c>
      <c r="V1" s="6" t="s">
        <v>317</v>
      </c>
      <c r="W1" s="7" t="s">
        <v>318</v>
      </c>
      <c r="X1" s="7" t="s">
        <v>319</v>
      </c>
      <c r="Y1" s="7" t="s">
        <v>320</v>
      </c>
      <c r="Z1" s="7" t="s">
        <v>321</v>
      </c>
      <c r="AA1" s="11" t="s">
        <v>322</v>
      </c>
      <c r="AB1" t="s">
        <v>323</v>
      </c>
      <c r="AC1" s="11" t="s">
        <v>324</v>
      </c>
      <c r="AD1" t="s">
        <v>325</v>
      </c>
      <c r="AE1" t="s">
        <v>384</v>
      </c>
    </row>
    <row r="2" spans="2:32" ht="15" customHeight="1" x14ac:dyDescent="0.3">
      <c r="B2" s="16" t="s">
        <v>326</v>
      </c>
      <c r="C2" s="16" t="s">
        <v>326</v>
      </c>
      <c r="D2" s="16" t="s">
        <v>326</v>
      </c>
      <c r="E2" t="s">
        <v>11</v>
      </c>
      <c r="F2" t="s">
        <v>11</v>
      </c>
      <c r="G2" s="16" t="s">
        <v>330</v>
      </c>
      <c r="H2" s="16" t="s">
        <v>326</v>
      </c>
      <c r="I2" s="16" t="s">
        <v>326</v>
      </c>
      <c r="J2" s="1">
        <v>0</v>
      </c>
      <c r="K2" s="1">
        <v>1</v>
      </c>
      <c r="L2" s="1">
        <v>15000</v>
      </c>
      <c r="M2" s="1">
        <f>K2*L2</f>
        <v>15000</v>
      </c>
      <c r="N2" s="1">
        <f>K2*L2</f>
        <v>15000</v>
      </c>
      <c r="O2">
        <v>1</v>
      </c>
      <c r="P2">
        <v>12</v>
      </c>
      <c r="Q2">
        <v>30</v>
      </c>
      <c r="R2">
        <v>0</v>
      </c>
      <c r="S2">
        <v>100</v>
      </c>
      <c r="T2" s="1">
        <v>0</v>
      </c>
      <c r="U2">
        <v>20</v>
      </c>
      <c r="V2">
        <v>20</v>
      </c>
      <c r="W2">
        <v>0</v>
      </c>
      <c r="X2">
        <v>0</v>
      </c>
      <c r="Y2">
        <v>50</v>
      </c>
      <c r="Z2">
        <v>60</v>
      </c>
      <c r="AA2">
        <v>100</v>
      </c>
      <c r="AB2">
        <v>10</v>
      </c>
      <c r="AC2">
        <v>50</v>
      </c>
      <c r="AD2" s="1">
        <v>3600</v>
      </c>
      <c r="AE2" s="1" t="s">
        <v>334</v>
      </c>
    </row>
    <row r="3" spans="2:32" ht="13.5" customHeight="1" x14ac:dyDescent="0.3">
      <c r="B3" t="s">
        <v>327</v>
      </c>
      <c r="C3" t="s">
        <v>327</v>
      </c>
      <c r="D3" t="s">
        <v>327</v>
      </c>
      <c r="E3" t="s">
        <v>11</v>
      </c>
      <c r="F3" t="s">
        <v>11</v>
      </c>
      <c r="G3" s="16" t="s">
        <v>330</v>
      </c>
      <c r="H3" t="s">
        <v>327</v>
      </c>
      <c r="I3" t="s">
        <v>327</v>
      </c>
      <c r="J3" s="1">
        <v>1</v>
      </c>
      <c r="K3" s="1">
        <v>1</v>
      </c>
      <c r="L3" s="1">
        <v>10</v>
      </c>
      <c r="M3" s="1">
        <f t="shared" ref="M3:M16" si="0">K3*L3</f>
        <v>10</v>
      </c>
      <c r="N3" s="1">
        <f t="shared" ref="N3:N16" si="1">K3*L3</f>
        <v>10</v>
      </c>
      <c r="O3">
        <v>1</v>
      </c>
      <c r="P3">
        <v>12</v>
      </c>
      <c r="Q3">
        <v>30</v>
      </c>
      <c r="R3">
        <v>0</v>
      </c>
      <c r="S3">
        <v>100</v>
      </c>
      <c r="T3" s="1">
        <v>0</v>
      </c>
      <c r="U3">
        <v>2</v>
      </c>
      <c r="V3">
        <v>2</v>
      </c>
      <c r="W3">
        <v>0</v>
      </c>
      <c r="X3">
        <v>0</v>
      </c>
      <c r="Y3">
        <v>50</v>
      </c>
      <c r="Z3">
        <v>60</v>
      </c>
      <c r="AA3">
        <v>100</v>
      </c>
      <c r="AB3">
        <v>250</v>
      </c>
      <c r="AC3">
        <v>5</v>
      </c>
      <c r="AD3" s="1">
        <f>3600*2</f>
        <v>7200</v>
      </c>
      <c r="AE3" s="1" t="s">
        <v>334</v>
      </c>
    </row>
    <row r="4" spans="2:32" s="1" customFormat="1" ht="13.5" customHeight="1" x14ac:dyDescent="0.3">
      <c r="B4" s="1" t="s">
        <v>380</v>
      </c>
      <c r="C4" s="1" t="s">
        <v>380</v>
      </c>
      <c r="D4" s="1" t="s">
        <v>380</v>
      </c>
      <c r="E4" s="1" t="s">
        <v>11</v>
      </c>
      <c r="F4" s="1" t="s">
        <v>11</v>
      </c>
      <c r="G4" s="16" t="s">
        <v>330</v>
      </c>
      <c r="H4" s="1" t="s">
        <v>380</v>
      </c>
      <c r="I4" s="1" t="s">
        <v>380</v>
      </c>
      <c r="J4" s="1">
        <v>0</v>
      </c>
      <c r="K4" s="1">
        <v>1</v>
      </c>
      <c r="L4" s="1">
        <v>40000</v>
      </c>
      <c r="M4" s="1">
        <f t="shared" si="0"/>
        <v>40000</v>
      </c>
      <c r="N4" s="1">
        <f t="shared" si="1"/>
        <v>40000</v>
      </c>
      <c r="O4" s="1">
        <v>1</v>
      </c>
      <c r="P4" s="1">
        <v>12</v>
      </c>
      <c r="Q4" s="1">
        <v>30</v>
      </c>
      <c r="R4" s="1">
        <v>0</v>
      </c>
      <c r="S4" s="1">
        <v>100</v>
      </c>
      <c r="T4" s="1">
        <v>0</v>
      </c>
      <c r="U4" s="1">
        <v>2</v>
      </c>
      <c r="V4" s="1">
        <v>2</v>
      </c>
      <c r="W4" s="1">
        <v>0</v>
      </c>
      <c r="X4" s="1">
        <v>0</v>
      </c>
      <c r="Y4" s="1">
        <v>50</v>
      </c>
      <c r="Z4" s="1">
        <v>60</v>
      </c>
      <c r="AA4" s="1">
        <v>100</v>
      </c>
      <c r="AB4" s="1">
        <v>1250</v>
      </c>
      <c r="AC4" s="1">
        <v>5</v>
      </c>
      <c r="AD4" s="1">
        <f>3600*2</f>
        <v>7200</v>
      </c>
      <c r="AE4" s="1" t="s">
        <v>334</v>
      </c>
    </row>
    <row r="5" spans="2:32" s="1" customFormat="1" ht="13.5" customHeight="1" x14ac:dyDescent="0.3">
      <c r="B5" s="1" t="s">
        <v>378</v>
      </c>
      <c r="C5" s="1" t="s">
        <v>378</v>
      </c>
      <c r="D5" s="1" t="s">
        <v>378</v>
      </c>
      <c r="E5" s="1" t="s">
        <v>11</v>
      </c>
      <c r="F5" s="1" t="s">
        <v>11</v>
      </c>
      <c r="G5" s="16" t="s">
        <v>330</v>
      </c>
      <c r="H5" s="1" t="s">
        <v>378</v>
      </c>
      <c r="I5" s="1" t="s">
        <v>378</v>
      </c>
      <c r="J5" s="1">
        <v>0</v>
      </c>
      <c r="K5" s="1">
        <v>1</v>
      </c>
      <c r="L5" s="1">
        <v>0</v>
      </c>
      <c r="M5" s="1">
        <f t="shared" si="0"/>
        <v>0</v>
      </c>
      <c r="N5" s="1">
        <f t="shared" si="1"/>
        <v>0</v>
      </c>
      <c r="O5" s="1">
        <v>1</v>
      </c>
      <c r="P5" s="1">
        <v>12</v>
      </c>
      <c r="Q5" s="1">
        <v>30</v>
      </c>
      <c r="R5" s="1">
        <v>0</v>
      </c>
      <c r="S5" s="1">
        <v>100</v>
      </c>
      <c r="T5" s="1">
        <v>0</v>
      </c>
      <c r="U5" s="1">
        <v>2</v>
      </c>
      <c r="V5" s="1">
        <v>2</v>
      </c>
      <c r="W5" s="1">
        <v>0</v>
      </c>
      <c r="X5" s="1">
        <v>0</v>
      </c>
      <c r="Y5" s="1">
        <v>50</v>
      </c>
      <c r="Z5" s="1">
        <v>60</v>
      </c>
      <c r="AA5" s="1">
        <v>100</v>
      </c>
      <c r="AB5" s="1">
        <v>100</v>
      </c>
      <c r="AC5" s="1">
        <v>5</v>
      </c>
      <c r="AD5" s="1">
        <f t="shared" ref="AD5:AD6" si="2">3600*2</f>
        <v>7200</v>
      </c>
      <c r="AE5" s="1" t="s">
        <v>334</v>
      </c>
    </row>
    <row r="6" spans="2:32" s="1" customFormat="1" ht="13.5" customHeight="1" x14ac:dyDescent="0.3">
      <c r="B6" s="1" t="s">
        <v>379</v>
      </c>
      <c r="C6" s="1" t="s">
        <v>379</v>
      </c>
      <c r="D6" s="1" t="s">
        <v>379</v>
      </c>
      <c r="E6" s="1" t="s">
        <v>11</v>
      </c>
      <c r="F6" s="1" t="s">
        <v>11</v>
      </c>
      <c r="G6" s="16" t="s">
        <v>330</v>
      </c>
      <c r="H6" s="1" t="s">
        <v>379</v>
      </c>
      <c r="I6" s="1" t="s">
        <v>379</v>
      </c>
      <c r="J6" s="1">
        <v>0</v>
      </c>
      <c r="K6" s="1">
        <v>1</v>
      </c>
      <c r="L6" s="1">
        <v>0</v>
      </c>
      <c r="M6" s="1">
        <f t="shared" si="0"/>
        <v>0</v>
      </c>
      <c r="N6" s="1">
        <f t="shared" si="1"/>
        <v>0</v>
      </c>
      <c r="O6" s="1">
        <v>1</v>
      </c>
      <c r="P6" s="1">
        <v>12</v>
      </c>
      <c r="Q6" s="1">
        <v>30</v>
      </c>
      <c r="R6" s="1">
        <v>0</v>
      </c>
      <c r="S6" s="1">
        <v>100</v>
      </c>
      <c r="T6" s="1">
        <v>0</v>
      </c>
      <c r="U6" s="1">
        <v>2</v>
      </c>
      <c r="V6" s="1">
        <v>2</v>
      </c>
      <c r="W6" s="1">
        <v>0</v>
      </c>
      <c r="X6" s="1">
        <v>0</v>
      </c>
      <c r="Y6" s="1">
        <v>50</v>
      </c>
      <c r="Z6" s="1">
        <v>60</v>
      </c>
      <c r="AA6" s="1">
        <v>100</v>
      </c>
      <c r="AB6" s="1">
        <v>5</v>
      </c>
      <c r="AC6" s="1">
        <v>5</v>
      </c>
      <c r="AD6" s="1">
        <f t="shared" si="2"/>
        <v>7200</v>
      </c>
      <c r="AE6" s="1" t="s">
        <v>334</v>
      </c>
    </row>
    <row r="7" spans="2:32" s="1" customFormat="1" ht="13.5" customHeight="1" x14ac:dyDescent="0.3">
      <c r="B7" s="1" t="s">
        <v>286</v>
      </c>
      <c r="C7" s="11" t="s">
        <v>286</v>
      </c>
      <c r="D7" s="11" t="s">
        <v>286</v>
      </c>
      <c r="E7" s="1" t="s">
        <v>11</v>
      </c>
      <c r="F7" s="1" t="s">
        <v>11</v>
      </c>
      <c r="G7" s="1" t="s">
        <v>284</v>
      </c>
      <c r="H7" s="1" t="s">
        <v>286</v>
      </c>
      <c r="I7" s="10" t="s">
        <v>13</v>
      </c>
      <c r="J7" s="1">
        <v>0</v>
      </c>
      <c r="K7" s="1">
        <v>1</v>
      </c>
      <c r="L7" s="1">
        <v>50000</v>
      </c>
      <c r="M7" s="1">
        <f t="shared" si="0"/>
        <v>50000</v>
      </c>
      <c r="N7" s="1">
        <f t="shared" si="1"/>
        <v>50000</v>
      </c>
      <c r="O7" s="1">
        <v>1</v>
      </c>
      <c r="P7" s="1">
        <v>12</v>
      </c>
      <c r="Q7" s="1">
        <v>30</v>
      </c>
      <c r="R7" s="1">
        <v>0</v>
      </c>
      <c r="S7" s="1">
        <v>100</v>
      </c>
      <c r="T7" s="1">
        <v>0</v>
      </c>
      <c r="U7" s="1">
        <v>25</v>
      </c>
      <c r="V7" s="1">
        <v>25</v>
      </c>
      <c r="W7" s="1">
        <v>0</v>
      </c>
      <c r="X7" s="1">
        <v>0</v>
      </c>
      <c r="Y7" s="1">
        <v>50</v>
      </c>
      <c r="Z7" s="1">
        <v>60</v>
      </c>
      <c r="AA7" s="1">
        <v>100</v>
      </c>
      <c r="AB7" s="1">
        <v>1</v>
      </c>
      <c r="AC7" s="1">
        <v>50</v>
      </c>
      <c r="AD7" s="1">
        <v>7200</v>
      </c>
      <c r="AE7" s="1" t="s">
        <v>334</v>
      </c>
    </row>
    <row r="8" spans="2:32" s="1" customFormat="1" ht="13.5" customHeight="1" x14ac:dyDescent="0.3">
      <c r="B8" s="1" t="s">
        <v>287</v>
      </c>
      <c r="C8" s="11" t="s">
        <v>287</v>
      </c>
      <c r="D8" s="11" t="s">
        <v>287</v>
      </c>
      <c r="E8" s="1" t="s">
        <v>11</v>
      </c>
      <c r="F8" s="1" t="s">
        <v>11</v>
      </c>
      <c r="G8" s="1" t="s">
        <v>284</v>
      </c>
      <c r="H8" s="1" t="s">
        <v>287</v>
      </c>
      <c r="I8" s="10" t="s">
        <v>288</v>
      </c>
      <c r="J8" s="1">
        <v>0</v>
      </c>
      <c r="K8" s="1">
        <v>1</v>
      </c>
      <c r="L8" s="1">
        <v>50000</v>
      </c>
      <c r="M8" s="1">
        <f t="shared" si="0"/>
        <v>50000</v>
      </c>
      <c r="N8" s="1">
        <f t="shared" si="1"/>
        <v>50000</v>
      </c>
      <c r="O8" s="1">
        <v>1</v>
      </c>
      <c r="P8" s="1">
        <v>35</v>
      </c>
      <c r="Q8" s="1">
        <v>60</v>
      </c>
      <c r="R8" s="1">
        <v>0</v>
      </c>
      <c r="S8" s="1">
        <v>200</v>
      </c>
      <c r="T8" s="1">
        <v>0</v>
      </c>
      <c r="U8" s="1">
        <v>70</v>
      </c>
      <c r="V8" s="1">
        <v>50</v>
      </c>
      <c r="W8" s="1">
        <v>0</v>
      </c>
      <c r="X8" s="1">
        <v>0</v>
      </c>
      <c r="Y8" s="1">
        <v>100</v>
      </c>
      <c r="Z8" s="1">
        <v>120</v>
      </c>
      <c r="AA8" s="1">
        <v>200</v>
      </c>
      <c r="AB8" s="1">
        <v>1</v>
      </c>
      <c r="AC8" s="1">
        <v>50</v>
      </c>
      <c r="AD8" s="1">
        <v>3600</v>
      </c>
      <c r="AE8" s="1" t="s">
        <v>334</v>
      </c>
    </row>
    <row r="9" spans="2:32" s="1" customFormat="1" ht="13.5" customHeight="1" x14ac:dyDescent="0.3">
      <c r="B9" s="1" t="s">
        <v>381</v>
      </c>
      <c r="C9" s="1" t="s">
        <v>381</v>
      </c>
      <c r="D9" s="1" t="s">
        <v>381</v>
      </c>
      <c r="E9" s="1" t="s">
        <v>11</v>
      </c>
      <c r="F9" s="1" t="s">
        <v>11</v>
      </c>
      <c r="G9" s="1" t="s">
        <v>382</v>
      </c>
      <c r="H9" s="1" t="s">
        <v>381</v>
      </c>
      <c r="I9" s="1" t="s">
        <v>381</v>
      </c>
      <c r="J9" s="1">
        <v>1</v>
      </c>
      <c r="K9" s="1">
        <v>1</v>
      </c>
      <c r="L9" s="1">
        <v>10</v>
      </c>
      <c r="M9" s="1">
        <f t="shared" si="0"/>
        <v>10</v>
      </c>
      <c r="N9" s="1">
        <f t="shared" si="1"/>
        <v>10</v>
      </c>
      <c r="O9" s="1">
        <v>1</v>
      </c>
      <c r="P9" s="1">
        <v>35</v>
      </c>
      <c r="Q9" s="1">
        <v>60</v>
      </c>
      <c r="R9" s="1">
        <v>0</v>
      </c>
      <c r="S9" s="1">
        <v>200</v>
      </c>
      <c r="T9" s="1">
        <v>0</v>
      </c>
      <c r="U9" s="1">
        <v>60</v>
      </c>
      <c r="V9" s="1">
        <v>60</v>
      </c>
      <c r="W9" s="1">
        <v>0</v>
      </c>
      <c r="X9" s="1">
        <v>0</v>
      </c>
      <c r="Y9" s="1">
        <v>100</v>
      </c>
      <c r="Z9" s="1">
        <v>120</v>
      </c>
      <c r="AA9" s="1">
        <v>200</v>
      </c>
      <c r="AB9" s="1">
        <v>1</v>
      </c>
      <c r="AC9" s="1">
        <v>50</v>
      </c>
      <c r="AD9" s="1">
        <v>7200</v>
      </c>
      <c r="AE9" s="1" t="s">
        <v>334</v>
      </c>
    </row>
    <row r="10" spans="2:32" s="1" customFormat="1" ht="13.5" customHeight="1" x14ac:dyDescent="0.3">
      <c r="B10" s="1" t="s">
        <v>282</v>
      </c>
      <c r="C10" s="1" t="s">
        <v>282</v>
      </c>
      <c r="D10" s="1" t="s">
        <v>282</v>
      </c>
      <c r="E10" s="1" t="s">
        <v>11</v>
      </c>
      <c r="F10" s="1" t="s">
        <v>11</v>
      </c>
      <c r="G10" s="1" t="s">
        <v>284</v>
      </c>
      <c r="H10" s="1" t="s">
        <v>282</v>
      </c>
      <c r="I10" s="1" t="s">
        <v>285</v>
      </c>
      <c r="J10" s="1">
        <v>0</v>
      </c>
      <c r="K10" s="1">
        <v>1</v>
      </c>
      <c r="L10" s="1">
        <v>0</v>
      </c>
      <c r="M10" s="1">
        <f t="shared" si="0"/>
        <v>0</v>
      </c>
      <c r="N10" s="1">
        <f t="shared" si="1"/>
        <v>0</v>
      </c>
      <c r="O10" s="1">
        <v>1</v>
      </c>
      <c r="P10" s="1">
        <v>35</v>
      </c>
      <c r="Q10" s="1">
        <v>60</v>
      </c>
      <c r="R10" s="1">
        <v>0</v>
      </c>
      <c r="S10" s="1">
        <v>200</v>
      </c>
      <c r="T10" s="1">
        <v>0</v>
      </c>
      <c r="U10" s="1">
        <v>60</v>
      </c>
      <c r="V10" s="1">
        <v>60</v>
      </c>
      <c r="W10" s="1">
        <v>0</v>
      </c>
      <c r="X10" s="1">
        <v>0</v>
      </c>
      <c r="Y10" s="1">
        <v>100</v>
      </c>
      <c r="Z10" s="1">
        <v>120</v>
      </c>
      <c r="AA10" s="1">
        <v>200</v>
      </c>
      <c r="AB10" s="1">
        <v>1</v>
      </c>
      <c r="AC10" s="1">
        <v>50</v>
      </c>
      <c r="AD10" s="1">
        <v>7200</v>
      </c>
      <c r="AE10" s="1" t="s">
        <v>334</v>
      </c>
    </row>
    <row r="11" spans="2:32" ht="13.5" customHeight="1" x14ac:dyDescent="0.3">
      <c r="B11" s="1" t="s">
        <v>142</v>
      </c>
      <c r="C11" s="1" t="s">
        <v>142</v>
      </c>
      <c r="D11" s="1" t="s">
        <v>142</v>
      </c>
      <c r="E11" s="1" t="s">
        <v>11</v>
      </c>
      <c r="F11" s="1" t="s">
        <v>11</v>
      </c>
      <c r="G11" s="1" t="s">
        <v>284</v>
      </c>
      <c r="H11" s="1" t="s">
        <v>142</v>
      </c>
      <c r="I11" s="1" t="s">
        <v>142</v>
      </c>
      <c r="J11" s="1">
        <v>0</v>
      </c>
      <c r="K11" s="1">
        <v>1</v>
      </c>
      <c r="L11" s="1">
        <v>30000</v>
      </c>
      <c r="M11" s="1">
        <f t="shared" si="0"/>
        <v>30000</v>
      </c>
      <c r="N11" s="1">
        <f t="shared" si="1"/>
        <v>30000</v>
      </c>
      <c r="O11" s="1">
        <v>1</v>
      </c>
      <c r="P11" s="1">
        <v>35</v>
      </c>
      <c r="Q11" s="1">
        <v>60</v>
      </c>
      <c r="R11" s="1">
        <v>0</v>
      </c>
      <c r="S11" s="1">
        <v>200</v>
      </c>
      <c r="T11" s="1">
        <v>0</v>
      </c>
      <c r="U11" s="1">
        <v>3</v>
      </c>
      <c r="V11" s="1">
        <v>3</v>
      </c>
      <c r="W11" s="1">
        <v>0</v>
      </c>
      <c r="X11" s="1">
        <v>0</v>
      </c>
      <c r="Y11" s="1">
        <v>100</v>
      </c>
      <c r="Z11" s="1">
        <v>120</v>
      </c>
      <c r="AA11" s="1">
        <v>200</v>
      </c>
      <c r="AB11" s="1">
        <v>1</v>
      </c>
      <c r="AC11" s="1">
        <v>50</v>
      </c>
      <c r="AD11" s="1">
        <v>7200</v>
      </c>
      <c r="AE11" s="1" t="s">
        <v>334</v>
      </c>
      <c r="AF11" s="1"/>
    </row>
    <row r="12" spans="2:32" ht="13.5" customHeight="1" x14ac:dyDescent="0.3">
      <c r="B12" s="1" t="s">
        <v>75</v>
      </c>
      <c r="C12" s="1" t="s">
        <v>75</v>
      </c>
      <c r="D12" s="1" t="s">
        <v>75</v>
      </c>
      <c r="E12" s="1" t="s">
        <v>11</v>
      </c>
      <c r="F12" s="1" t="s">
        <v>11</v>
      </c>
      <c r="G12" s="1" t="s">
        <v>284</v>
      </c>
      <c r="H12" s="1" t="s">
        <v>75</v>
      </c>
      <c r="I12" s="1" t="s">
        <v>75</v>
      </c>
      <c r="J12" s="1">
        <v>0</v>
      </c>
      <c r="K12" s="1">
        <v>1</v>
      </c>
      <c r="L12" s="1">
        <v>0</v>
      </c>
      <c r="M12" s="1">
        <f t="shared" si="0"/>
        <v>0</v>
      </c>
      <c r="N12" s="1">
        <f t="shared" si="1"/>
        <v>0</v>
      </c>
      <c r="O12" s="1">
        <v>1</v>
      </c>
      <c r="P12" s="1">
        <v>35</v>
      </c>
      <c r="Q12" s="1">
        <v>60</v>
      </c>
      <c r="R12" s="1">
        <v>0</v>
      </c>
      <c r="S12" s="1">
        <v>200</v>
      </c>
      <c r="T12" s="1">
        <v>0</v>
      </c>
      <c r="U12" s="1">
        <v>15</v>
      </c>
      <c r="V12" s="1">
        <v>15</v>
      </c>
      <c r="W12" s="1">
        <v>0</v>
      </c>
      <c r="X12" s="1">
        <v>0</v>
      </c>
      <c r="Y12" s="1">
        <v>100</v>
      </c>
      <c r="Z12" s="1">
        <v>120</v>
      </c>
      <c r="AA12" s="1">
        <v>200</v>
      </c>
      <c r="AB12" s="1">
        <v>1</v>
      </c>
      <c r="AC12" s="1">
        <v>50</v>
      </c>
      <c r="AD12" s="1">
        <v>7200</v>
      </c>
      <c r="AE12" s="1" t="s">
        <v>334</v>
      </c>
    </row>
    <row r="13" spans="2:32" ht="14.25" customHeight="1" x14ac:dyDescent="0.3">
      <c r="B13" s="1" t="s">
        <v>174</v>
      </c>
      <c r="C13" s="1" t="s">
        <v>174</v>
      </c>
      <c r="D13" s="1" t="s">
        <v>174</v>
      </c>
      <c r="E13" s="1" t="s">
        <v>11</v>
      </c>
      <c r="F13" s="1" t="s">
        <v>11</v>
      </c>
      <c r="G13" s="1" t="s">
        <v>284</v>
      </c>
      <c r="H13" s="1" t="s">
        <v>174</v>
      </c>
      <c r="I13" s="1" t="s">
        <v>174</v>
      </c>
      <c r="J13" s="1">
        <v>0</v>
      </c>
      <c r="K13" s="1">
        <v>1</v>
      </c>
      <c r="L13" s="1">
        <v>40000</v>
      </c>
      <c r="M13" s="1">
        <f t="shared" si="0"/>
        <v>40000</v>
      </c>
      <c r="N13" s="1">
        <f t="shared" si="1"/>
        <v>40000</v>
      </c>
      <c r="O13" s="1">
        <v>1</v>
      </c>
      <c r="P13" s="1">
        <v>35</v>
      </c>
      <c r="Q13" s="1">
        <v>60</v>
      </c>
      <c r="R13" s="1">
        <v>0</v>
      </c>
      <c r="S13" s="1">
        <v>200</v>
      </c>
      <c r="T13" s="1">
        <v>0</v>
      </c>
      <c r="U13" s="1">
        <v>6</v>
      </c>
      <c r="V13" s="1">
        <v>6</v>
      </c>
      <c r="W13" s="1">
        <v>0</v>
      </c>
      <c r="X13" s="1">
        <v>0</v>
      </c>
      <c r="Y13" s="1">
        <v>100</v>
      </c>
      <c r="Z13" s="1">
        <v>120</v>
      </c>
      <c r="AA13" s="1">
        <v>200</v>
      </c>
      <c r="AB13" s="1">
        <v>1</v>
      </c>
      <c r="AC13" s="1">
        <v>50</v>
      </c>
      <c r="AD13" s="1">
        <v>7200</v>
      </c>
      <c r="AE13" s="1" t="s">
        <v>334</v>
      </c>
    </row>
    <row r="14" spans="2:32" ht="14.25" customHeight="1" x14ac:dyDescent="0.3">
      <c r="B14" s="1" t="s">
        <v>170</v>
      </c>
      <c r="C14" s="1" t="s">
        <v>170</v>
      </c>
      <c r="D14" s="1" t="s">
        <v>170</v>
      </c>
      <c r="E14" s="1" t="s">
        <v>11</v>
      </c>
      <c r="F14" s="1" t="s">
        <v>11</v>
      </c>
      <c r="G14" s="1" t="s">
        <v>284</v>
      </c>
      <c r="H14" s="1" t="s">
        <v>170</v>
      </c>
      <c r="I14" s="1" t="s">
        <v>170</v>
      </c>
      <c r="J14" s="1">
        <v>1</v>
      </c>
      <c r="K14" s="1">
        <v>1</v>
      </c>
      <c r="L14" s="1">
        <v>10</v>
      </c>
      <c r="M14" s="1">
        <f t="shared" si="0"/>
        <v>10</v>
      </c>
      <c r="N14" s="1">
        <f t="shared" si="1"/>
        <v>10</v>
      </c>
      <c r="O14" s="1">
        <v>1</v>
      </c>
      <c r="P14" s="1">
        <v>35</v>
      </c>
      <c r="Q14" s="1">
        <v>60</v>
      </c>
      <c r="R14" s="1">
        <v>0</v>
      </c>
      <c r="S14" s="1">
        <v>200</v>
      </c>
      <c r="T14" s="1">
        <v>0</v>
      </c>
      <c r="U14" s="1">
        <v>15</v>
      </c>
      <c r="V14" s="1">
        <v>15</v>
      </c>
      <c r="W14" s="1">
        <v>0</v>
      </c>
      <c r="X14" s="1">
        <v>0</v>
      </c>
      <c r="Y14" s="1">
        <v>100</v>
      </c>
      <c r="Z14" s="1">
        <v>120</v>
      </c>
      <c r="AA14" s="1">
        <v>200</v>
      </c>
      <c r="AB14" s="1">
        <v>1</v>
      </c>
      <c r="AC14" s="1">
        <v>50</v>
      </c>
      <c r="AD14" s="1">
        <v>7200</v>
      </c>
      <c r="AE14" s="1" t="s">
        <v>334</v>
      </c>
    </row>
    <row r="15" spans="2:32" ht="14.25" customHeight="1" x14ac:dyDescent="0.3">
      <c r="B15" s="1" t="s">
        <v>69</v>
      </c>
      <c r="C15" s="1" t="s">
        <v>69</v>
      </c>
      <c r="D15" s="1" t="s">
        <v>69</v>
      </c>
      <c r="E15" s="1" t="s">
        <v>11</v>
      </c>
      <c r="F15" s="1" t="s">
        <v>11</v>
      </c>
      <c r="G15" s="1" t="s">
        <v>284</v>
      </c>
      <c r="H15" s="1" t="s">
        <v>69</v>
      </c>
      <c r="I15" s="1" t="s">
        <v>69</v>
      </c>
      <c r="J15" s="1">
        <v>0</v>
      </c>
      <c r="K15" s="1">
        <v>1</v>
      </c>
      <c r="L15" s="1">
        <v>30000</v>
      </c>
      <c r="M15" s="1">
        <f t="shared" si="0"/>
        <v>30000</v>
      </c>
      <c r="N15" s="1">
        <f t="shared" si="1"/>
        <v>30000</v>
      </c>
      <c r="O15" s="1">
        <v>1</v>
      </c>
      <c r="P15" s="1">
        <v>35</v>
      </c>
      <c r="Q15" s="1">
        <v>60</v>
      </c>
      <c r="R15" s="1">
        <v>0</v>
      </c>
      <c r="S15" s="1">
        <v>200</v>
      </c>
      <c r="T15" s="1">
        <v>0</v>
      </c>
      <c r="U15" s="1">
        <v>2.5</v>
      </c>
      <c r="V15" s="1">
        <v>2.5</v>
      </c>
      <c r="W15" s="1">
        <v>0</v>
      </c>
      <c r="X15" s="1">
        <v>0</v>
      </c>
      <c r="Y15" s="1">
        <v>100</v>
      </c>
      <c r="Z15" s="1">
        <v>120</v>
      </c>
      <c r="AA15" s="1">
        <v>200</v>
      </c>
      <c r="AB15" s="1">
        <v>1</v>
      </c>
      <c r="AC15" s="1">
        <v>50</v>
      </c>
      <c r="AD15" s="1">
        <v>7200</v>
      </c>
      <c r="AE15" s="1" t="s">
        <v>334</v>
      </c>
    </row>
    <row r="16" spans="2:32" ht="14.25" customHeight="1" x14ac:dyDescent="0.3">
      <c r="B16" s="1" t="s">
        <v>375</v>
      </c>
      <c r="C16" s="1" t="s">
        <v>375</v>
      </c>
      <c r="D16" s="1" t="s">
        <v>375</v>
      </c>
      <c r="E16" s="1" t="s">
        <v>11</v>
      </c>
      <c r="F16" s="1" t="s">
        <v>11</v>
      </c>
      <c r="G16" s="1" t="s">
        <v>284</v>
      </c>
      <c r="H16" s="1" t="s">
        <v>375</v>
      </c>
      <c r="I16" s="1" t="s">
        <v>375</v>
      </c>
      <c r="J16" s="1">
        <v>0</v>
      </c>
      <c r="K16" s="1">
        <v>1</v>
      </c>
      <c r="L16" s="1">
        <v>30000</v>
      </c>
      <c r="M16" s="1">
        <f t="shared" si="0"/>
        <v>30000</v>
      </c>
      <c r="N16" s="1">
        <f t="shared" si="1"/>
        <v>30000</v>
      </c>
      <c r="O16" s="1">
        <v>1</v>
      </c>
      <c r="P16" s="1">
        <v>35</v>
      </c>
      <c r="Q16" s="1">
        <v>60</v>
      </c>
      <c r="R16" s="1">
        <v>0</v>
      </c>
      <c r="S16" s="1">
        <v>200</v>
      </c>
      <c r="T16" s="1">
        <v>0</v>
      </c>
      <c r="U16" s="1">
        <v>20</v>
      </c>
      <c r="V16" s="1">
        <v>20</v>
      </c>
      <c r="W16" s="1">
        <v>0</v>
      </c>
      <c r="X16" s="1">
        <v>0</v>
      </c>
      <c r="Y16" s="1">
        <v>100</v>
      </c>
      <c r="Z16" s="1">
        <v>120</v>
      </c>
      <c r="AA16" s="1">
        <v>200</v>
      </c>
      <c r="AB16" s="1">
        <v>1</v>
      </c>
      <c r="AC16" s="1">
        <v>50</v>
      </c>
      <c r="AD16" s="1">
        <v>7200</v>
      </c>
      <c r="AE16" s="1" t="s">
        <v>334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zoomScaleNormal="100" workbookViewId="0">
      <selection activeCell="E24" sqref="E24"/>
    </sheetView>
  </sheetViews>
  <sheetFormatPr defaultColWidth="10.109375" defaultRowHeight="14.25" customHeight="1" x14ac:dyDescent="0.3"/>
  <cols>
    <col min="3" max="3" width="10.77734375" bestFit="1" customWidth="1"/>
    <col min="4" max="4" width="10.109375" style="1"/>
    <col min="5" max="5" width="11.21875" style="1" customWidth="1"/>
    <col min="6" max="7" width="11.77734375" style="1" bestFit="1" customWidth="1"/>
    <col min="8" max="9" width="11.77734375" style="1" customWidth="1"/>
  </cols>
  <sheetData>
    <row r="1" spans="1:11" ht="14.25" customHeight="1" x14ac:dyDescent="0.3">
      <c r="A1" t="s">
        <v>348</v>
      </c>
      <c r="B1" t="s">
        <v>286</v>
      </c>
      <c r="C1" t="s">
        <v>287</v>
      </c>
      <c r="D1" s="1" t="s">
        <v>282</v>
      </c>
      <c r="E1" t="s">
        <v>326</v>
      </c>
      <c r="F1" t="s">
        <v>327</v>
      </c>
      <c r="G1" s="1" t="s">
        <v>380</v>
      </c>
      <c r="H1" s="1" t="s">
        <v>378</v>
      </c>
      <c r="I1" s="1" t="s">
        <v>379</v>
      </c>
      <c r="J1" t="s">
        <v>142</v>
      </c>
      <c r="K1" s="1" t="s">
        <v>75</v>
      </c>
    </row>
    <row r="2" spans="1:11" ht="14.25" customHeight="1" x14ac:dyDescent="0.3">
      <c r="A2">
        <v>0</v>
      </c>
      <c r="B2" s="1">
        <v>10</v>
      </c>
      <c r="C2" s="1">
        <v>10</v>
      </c>
      <c r="D2" s="1">
        <v>10</v>
      </c>
      <c r="E2" s="1">
        <v>3</v>
      </c>
      <c r="F2" s="1">
        <v>1.5</v>
      </c>
      <c r="G2" s="1">
        <v>1.5</v>
      </c>
      <c r="H2" s="1">
        <v>10</v>
      </c>
      <c r="I2" s="1">
        <v>10</v>
      </c>
      <c r="J2">
        <v>3</v>
      </c>
      <c r="K2">
        <v>3</v>
      </c>
    </row>
    <row r="3" spans="1:11" ht="13.5" customHeight="1" x14ac:dyDescent="0.3">
      <c r="A3">
        <v>10</v>
      </c>
      <c r="B3" s="1">
        <v>10</v>
      </c>
      <c r="C3" s="1">
        <v>10</v>
      </c>
      <c r="D3" s="1">
        <v>10</v>
      </c>
      <c r="E3">
        <v>3</v>
      </c>
      <c r="F3">
        <v>1.5</v>
      </c>
      <c r="G3" s="1">
        <v>1.5</v>
      </c>
      <c r="H3" s="1">
        <v>10</v>
      </c>
      <c r="I3" s="1">
        <v>10</v>
      </c>
      <c r="J3" s="1">
        <v>3</v>
      </c>
      <c r="K3" s="1">
        <v>3</v>
      </c>
    </row>
    <row r="4" spans="1:11" ht="13.5" customHeight="1" x14ac:dyDescent="0.3">
      <c r="A4">
        <v>15</v>
      </c>
      <c r="B4" s="1">
        <v>15</v>
      </c>
      <c r="C4" s="1">
        <v>15</v>
      </c>
      <c r="D4" s="1">
        <v>15</v>
      </c>
      <c r="E4">
        <v>3</v>
      </c>
      <c r="F4">
        <v>1.5</v>
      </c>
      <c r="G4" s="1">
        <v>1.5</v>
      </c>
      <c r="H4" s="1">
        <v>15</v>
      </c>
      <c r="I4" s="1">
        <v>15</v>
      </c>
      <c r="J4" s="1">
        <v>3</v>
      </c>
      <c r="K4" s="1">
        <v>3</v>
      </c>
    </row>
    <row r="5" spans="1:11" ht="13.5" customHeight="1" x14ac:dyDescent="0.3">
      <c r="A5">
        <v>20</v>
      </c>
      <c r="B5" s="1">
        <v>20</v>
      </c>
      <c r="C5" s="1">
        <v>20</v>
      </c>
      <c r="D5" s="1">
        <v>20</v>
      </c>
      <c r="E5">
        <v>3</v>
      </c>
      <c r="F5">
        <v>1.5</v>
      </c>
      <c r="G5" s="1">
        <v>1.5</v>
      </c>
      <c r="H5" s="1">
        <v>20</v>
      </c>
      <c r="I5" s="1">
        <v>20</v>
      </c>
      <c r="J5" s="1">
        <v>3</v>
      </c>
      <c r="K5" s="1">
        <v>3</v>
      </c>
    </row>
    <row r="6" spans="1:11" ht="13.5" customHeight="1" x14ac:dyDescent="0.3">
      <c r="A6">
        <v>25</v>
      </c>
      <c r="B6" s="1">
        <v>25</v>
      </c>
      <c r="C6" s="1">
        <v>25</v>
      </c>
      <c r="D6" s="1">
        <v>25</v>
      </c>
      <c r="E6">
        <v>15</v>
      </c>
      <c r="F6">
        <v>1.5</v>
      </c>
      <c r="G6" s="1">
        <v>1.5</v>
      </c>
      <c r="H6" s="1">
        <v>25</v>
      </c>
      <c r="I6" s="1">
        <v>25</v>
      </c>
      <c r="J6" s="1">
        <v>3</v>
      </c>
      <c r="K6" s="1">
        <v>3</v>
      </c>
    </row>
    <row r="7" spans="1:11" ht="13.5" customHeight="1" x14ac:dyDescent="0.3">
      <c r="A7">
        <v>30</v>
      </c>
      <c r="B7" s="1">
        <v>30</v>
      </c>
      <c r="C7" s="1">
        <v>30</v>
      </c>
      <c r="D7" s="1">
        <v>30</v>
      </c>
      <c r="E7">
        <v>15</v>
      </c>
      <c r="F7">
        <v>1.5</v>
      </c>
      <c r="G7" s="1">
        <v>1.5</v>
      </c>
      <c r="H7" s="1">
        <v>30</v>
      </c>
      <c r="I7" s="1">
        <v>30</v>
      </c>
      <c r="J7" s="1">
        <v>3</v>
      </c>
      <c r="K7" s="1">
        <v>3</v>
      </c>
    </row>
    <row r="8" spans="1:11" ht="13.5" customHeight="1" x14ac:dyDescent="0.3">
      <c r="A8">
        <v>50</v>
      </c>
      <c r="B8" s="1">
        <v>50</v>
      </c>
      <c r="C8" s="1">
        <v>50</v>
      </c>
      <c r="D8" s="1">
        <v>30</v>
      </c>
      <c r="E8">
        <v>50</v>
      </c>
      <c r="F8">
        <v>1.5</v>
      </c>
      <c r="G8" s="1">
        <v>1.5</v>
      </c>
      <c r="H8" s="1">
        <v>50</v>
      </c>
      <c r="I8" s="1">
        <v>50</v>
      </c>
      <c r="J8" s="1">
        <v>3</v>
      </c>
      <c r="K8" s="1">
        <v>3</v>
      </c>
    </row>
    <row r="9" spans="1:11" ht="13.5" customHeight="1" x14ac:dyDescent="0.3">
      <c r="A9">
        <v>70</v>
      </c>
      <c r="B9" s="1">
        <v>70</v>
      </c>
      <c r="C9" s="1">
        <v>70</v>
      </c>
      <c r="D9" s="1">
        <v>30</v>
      </c>
      <c r="E9" s="1">
        <v>70</v>
      </c>
      <c r="F9">
        <v>1.5</v>
      </c>
      <c r="G9" s="1">
        <v>1.5</v>
      </c>
      <c r="H9" s="1">
        <v>70</v>
      </c>
      <c r="I9" s="1">
        <v>70</v>
      </c>
      <c r="J9" s="1">
        <v>3</v>
      </c>
      <c r="K9" s="1">
        <v>3</v>
      </c>
    </row>
    <row r="10" spans="1:11" ht="14.25" customHeight="1" x14ac:dyDescent="0.3">
      <c r="A10">
        <v>100</v>
      </c>
      <c r="B10" s="1">
        <v>100</v>
      </c>
      <c r="C10" s="1">
        <v>90</v>
      </c>
      <c r="D10" s="1">
        <v>30</v>
      </c>
      <c r="E10" s="1">
        <v>80</v>
      </c>
      <c r="F10">
        <v>1.5</v>
      </c>
      <c r="G10" s="1">
        <v>1.5</v>
      </c>
      <c r="H10" s="1">
        <v>100</v>
      </c>
      <c r="I10" s="1">
        <v>100</v>
      </c>
      <c r="J10" s="1">
        <v>3</v>
      </c>
      <c r="K10" s="1">
        <v>3</v>
      </c>
    </row>
    <row r="11" spans="1:11" ht="14.25" customHeight="1" x14ac:dyDescent="0.3">
      <c r="A11">
        <v>150</v>
      </c>
      <c r="B11" s="1">
        <v>100</v>
      </c>
      <c r="C11" s="1">
        <v>90</v>
      </c>
      <c r="D11" s="1">
        <v>30</v>
      </c>
      <c r="E11" s="1">
        <v>80</v>
      </c>
      <c r="F11">
        <v>1.5</v>
      </c>
      <c r="G11" s="1">
        <v>1.5</v>
      </c>
      <c r="H11" s="1">
        <v>150</v>
      </c>
      <c r="I11" s="1">
        <v>150</v>
      </c>
      <c r="J11" s="1">
        <v>3</v>
      </c>
      <c r="K11" s="1">
        <v>3</v>
      </c>
    </row>
    <row r="12" spans="1:11" ht="14.25" customHeight="1" x14ac:dyDescent="0.3">
      <c r="A12">
        <v>200</v>
      </c>
      <c r="B12" s="1">
        <v>100</v>
      </c>
      <c r="C12" s="1">
        <v>90</v>
      </c>
      <c r="D12" s="1">
        <v>30</v>
      </c>
      <c r="E12" s="1">
        <v>80</v>
      </c>
      <c r="F12">
        <v>1.5</v>
      </c>
      <c r="G12" s="1">
        <v>1.5</v>
      </c>
      <c r="H12" s="1">
        <v>200</v>
      </c>
      <c r="I12" s="1">
        <v>200</v>
      </c>
      <c r="J12" s="1">
        <v>3</v>
      </c>
      <c r="K12" s="1">
        <v>3</v>
      </c>
    </row>
    <row r="13" spans="1:11" ht="14.25" customHeight="1" x14ac:dyDescent="0.3">
      <c r="A13">
        <v>300</v>
      </c>
      <c r="B13" s="1">
        <v>100</v>
      </c>
      <c r="C13" s="1">
        <v>90</v>
      </c>
      <c r="D13" s="1">
        <v>30</v>
      </c>
      <c r="E13" s="1">
        <v>80</v>
      </c>
      <c r="F13">
        <v>1.5</v>
      </c>
      <c r="G13" s="1">
        <v>1.5</v>
      </c>
      <c r="H13" s="1">
        <v>300</v>
      </c>
      <c r="I13" s="1">
        <v>300</v>
      </c>
      <c r="J13" s="1">
        <v>3</v>
      </c>
      <c r="K13" s="1">
        <v>3</v>
      </c>
    </row>
    <row r="14" spans="1:11" ht="14.25" customHeight="1" x14ac:dyDescent="0.3">
      <c r="A14">
        <v>500</v>
      </c>
      <c r="B14" s="1">
        <v>100</v>
      </c>
      <c r="C14" s="1">
        <v>90</v>
      </c>
      <c r="D14" s="1">
        <v>30</v>
      </c>
      <c r="E14" s="1">
        <v>80</v>
      </c>
      <c r="F14">
        <v>1.5</v>
      </c>
      <c r="G14" s="1">
        <v>1.5</v>
      </c>
      <c r="H14" s="1">
        <v>500</v>
      </c>
      <c r="I14" s="1">
        <v>500</v>
      </c>
      <c r="J14" s="1">
        <v>3</v>
      </c>
      <c r="K14" s="1">
        <v>3</v>
      </c>
    </row>
    <row r="15" spans="1:11" ht="14.25" customHeight="1" x14ac:dyDescent="0.3">
      <c r="A15">
        <v>800</v>
      </c>
      <c r="B15" s="1">
        <v>100</v>
      </c>
      <c r="C15" s="1">
        <v>90</v>
      </c>
      <c r="D15" s="1">
        <v>30</v>
      </c>
      <c r="E15" s="1">
        <v>80</v>
      </c>
      <c r="F15">
        <v>1.5</v>
      </c>
      <c r="G15" s="1">
        <v>1.5</v>
      </c>
      <c r="H15" s="1">
        <v>500</v>
      </c>
      <c r="I15" s="1">
        <v>500</v>
      </c>
      <c r="J15" s="1">
        <v>3</v>
      </c>
      <c r="K15" s="1">
        <v>3</v>
      </c>
    </row>
    <row r="16" spans="1:11" ht="14.25" customHeight="1" x14ac:dyDescent="0.3">
      <c r="A16">
        <v>1200</v>
      </c>
      <c r="B16" s="1">
        <v>100</v>
      </c>
      <c r="C16" s="1">
        <v>90</v>
      </c>
      <c r="D16" s="1">
        <v>30</v>
      </c>
      <c r="E16" s="1">
        <v>80</v>
      </c>
      <c r="F16">
        <v>1.5</v>
      </c>
      <c r="G16" s="1">
        <v>1.5</v>
      </c>
      <c r="H16" s="1">
        <v>500</v>
      </c>
      <c r="I16" s="1">
        <v>500</v>
      </c>
      <c r="J16" s="1">
        <v>3</v>
      </c>
      <c r="K16" s="1">
        <v>3</v>
      </c>
    </row>
    <row r="17" spans="1:11" ht="14.25" customHeight="1" x14ac:dyDescent="0.3">
      <c r="A17">
        <v>5000</v>
      </c>
      <c r="B17" s="1">
        <v>100</v>
      </c>
      <c r="C17" s="1">
        <v>90</v>
      </c>
      <c r="D17" s="1">
        <v>30</v>
      </c>
      <c r="E17" s="1">
        <v>80</v>
      </c>
      <c r="F17" s="1">
        <v>1.5</v>
      </c>
      <c r="G17" s="1">
        <v>1.5</v>
      </c>
      <c r="H17" s="1">
        <v>500</v>
      </c>
      <c r="I17" s="1">
        <v>500</v>
      </c>
      <c r="J17" s="1">
        <v>3</v>
      </c>
      <c r="K17" s="1">
        <v>3</v>
      </c>
    </row>
    <row r="18" spans="1:11" ht="14.25" customHeight="1" x14ac:dyDescent="0.3">
      <c r="A18">
        <v>10000</v>
      </c>
      <c r="B18" s="1">
        <v>100</v>
      </c>
      <c r="C18" s="1">
        <v>90</v>
      </c>
      <c r="D18" s="1">
        <v>30</v>
      </c>
      <c r="E18" s="1">
        <v>80</v>
      </c>
      <c r="F18" s="1">
        <v>1.5</v>
      </c>
      <c r="G18" s="1">
        <v>1.5</v>
      </c>
      <c r="H18" s="1">
        <v>500</v>
      </c>
      <c r="I18" s="1">
        <v>500</v>
      </c>
      <c r="J18" s="1">
        <v>3</v>
      </c>
      <c r="K18" s="1"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85EC-EBB4-4528-99D4-033A4FD03CDA}">
  <dimension ref="A1:AP19"/>
  <sheetViews>
    <sheetView topLeftCell="AB1" workbookViewId="0">
      <selection activeCell="AM23" sqref="AM23"/>
    </sheetView>
  </sheetViews>
  <sheetFormatPr defaultColWidth="10.109375" defaultRowHeight="14.25" customHeight="1" x14ac:dyDescent="0.3"/>
  <cols>
    <col min="1" max="1" width="10.109375" style="1"/>
    <col min="2" max="2" width="14" style="1" bestFit="1" customWidth="1"/>
    <col min="3" max="3" width="14.88671875" style="1" bestFit="1" customWidth="1"/>
    <col min="4" max="4" width="10.109375" style="1"/>
    <col min="5" max="5" width="14" style="1" bestFit="1" customWidth="1"/>
    <col min="6" max="6" width="14.88671875" style="1" bestFit="1" customWidth="1"/>
    <col min="7" max="28" width="14.88671875" style="1" customWidth="1"/>
    <col min="29" max="29" width="10.109375" style="1"/>
    <col min="30" max="30" width="11.21875" style="1" customWidth="1"/>
    <col min="31" max="31" width="14.88671875" style="1" customWidth="1"/>
    <col min="32" max="32" width="10.109375" style="1"/>
    <col min="33" max="33" width="11.21875" style="1" customWidth="1"/>
    <col min="34" max="34" width="14.88671875" style="1" customWidth="1"/>
    <col min="35" max="35" width="10.109375" style="1"/>
    <col min="36" max="36" width="11.21875" style="1" customWidth="1"/>
    <col min="37" max="39" width="14.88671875" style="1" customWidth="1"/>
    <col min="40" max="16384" width="10.109375" style="1"/>
  </cols>
  <sheetData>
    <row r="1" spans="1:42" ht="14.25" customHeight="1" x14ac:dyDescent="0.3">
      <c r="A1" s="1" t="s">
        <v>286</v>
      </c>
      <c r="B1" s="1" t="s">
        <v>286</v>
      </c>
      <c r="C1" s="1" t="s">
        <v>286</v>
      </c>
      <c r="D1" s="1" t="s">
        <v>287</v>
      </c>
      <c r="E1" s="1" t="s">
        <v>287</v>
      </c>
      <c r="F1" s="1" t="s">
        <v>287</v>
      </c>
      <c r="G1" s="1" t="s">
        <v>282</v>
      </c>
      <c r="H1" s="1" t="s">
        <v>282</v>
      </c>
      <c r="I1" s="1" t="s">
        <v>282</v>
      </c>
      <c r="J1" s="1" t="s">
        <v>326</v>
      </c>
      <c r="K1" s="1" t="s">
        <v>326</v>
      </c>
      <c r="L1" s="1" t="s">
        <v>326</v>
      </c>
      <c r="M1" s="1" t="s">
        <v>327</v>
      </c>
      <c r="N1" s="1" t="s">
        <v>327</v>
      </c>
      <c r="O1" s="1" t="s">
        <v>327</v>
      </c>
      <c r="P1" s="1" t="s">
        <v>380</v>
      </c>
      <c r="Q1" s="1" t="s">
        <v>380</v>
      </c>
      <c r="R1" s="1" t="s">
        <v>380</v>
      </c>
      <c r="S1" s="1" t="s">
        <v>378</v>
      </c>
      <c r="T1" s="1" t="s">
        <v>378</v>
      </c>
      <c r="U1" s="1" t="s">
        <v>378</v>
      </c>
      <c r="V1" s="1" t="s">
        <v>379</v>
      </c>
      <c r="W1" s="1" t="s">
        <v>379</v>
      </c>
      <c r="X1" s="1" t="s">
        <v>379</v>
      </c>
      <c r="Y1" s="1" t="s">
        <v>142</v>
      </c>
      <c r="Z1" s="1" t="s">
        <v>142</v>
      </c>
      <c r="AA1" s="1" t="s">
        <v>142</v>
      </c>
      <c r="AB1" s="1" t="s">
        <v>75</v>
      </c>
      <c r="AC1" s="1" t="s">
        <v>75</v>
      </c>
      <c r="AD1" s="1" t="s">
        <v>75</v>
      </c>
      <c r="AE1" s="1" t="s">
        <v>387</v>
      </c>
      <c r="AF1" s="1" t="s">
        <v>387</v>
      </c>
      <c r="AG1" s="1" t="s">
        <v>387</v>
      </c>
      <c r="AH1" s="1" t="s">
        <v>170</v>
      </c>
      <c r="AI1" s="1" t="s">
        <v>170</v>
      </c>
      <c r="AJ1" s="1" t="s">
        <v>170</v>
      </c>
      <c r="AK1" s="1" t="s">
        <v>69</v>
      </c>
      <c r="AL1" s="1" t="s">
        <v>69</v>
      </c>
      <c r="AM1" s="1" t="s">
        <v>69</v>
      </c>
      <c r="AN1" s="1" t="s">
        <v>375</v>
      </c>
      <c r="AO1" s="1" t="s">
        <v>375</v>
      </c>
      <c r="AP1" s="1" t="s">
        <v>375</v>
      </c>
    </row>
    <row r="2" spans="1:42" ht="14.25" customHeight="1" x14ac:dyDescent="0.3">
      <c r="A2" s="1" t="s">
        <v>348</v>
      </c>
      <c r="B2" s="1" t="s">
        <v>335</v>
      </c>
      <c r="C2" s="1" t="s">
        <v>334</v>
      </c>
      <c r="D2" s="1" t="s">
        <v>348</v>
      </c>
      <c r="E2" s="1" t="s">
        <v>335</v>
      </c>
      <c r="F2" s="1" t="s">
        <v>334</v>
      </c>
      <c r="G2" s="1" t="s">
        <v>348</v>
      </c>
      <c r="H2" s="1" t="s">
        <v>335</v>
      </c>
      <c r="I2" s="1" t="s">
        <v>334</v>
      </c>
      <c r="J2" s="1" t="s">
        <v>348</v>
      </c>
      <c r="K2" s="1" t="s">
        <v>335</v>
      </c>
      <c r="L2" s="1" t="s">
        <v>334</v>
      </c>
      <c r="M2" s="1" t="s">
        <v>348</v>
      </c>
      <c r="N2" s="1" t="s">
        <v>335</v>
      </c>
      <c r="O2" s="1" t="s">
        <v>334</v>
      </c>
      <c r="P2" s="1" t="s">
        <v>348</v>
      </c>
      <c r="Q2" s="1" t="s">
        <v>335</v>
      </c>
      <c r="R2" s="1" t="s">
        <v>334</v>
      </c>
      <c r="S2" s="1" t="s">
        <v>348</v>
      </c>
      <c r="T2" s="1" t="s">
        <v>335</v>
      </c>
      <c r="U2" s="1" t="s">
        <v>334</v>
      </c>
      <c r="V2" s="1" t="s">
        <v>348</v>
      </c>
      <c r="W2" s="1" t="s">
        <v>335</v>
      </c>
      <c r="X2" s="1" t="s">
        <v>334</v>
      </c>
      <c r="Y2" s="1" t="s">
        <v>348</v>
      </c>
      <c r="Z2" s="1" t="s">
        <v>335</v>
      </c>
      <c r="AA2" s="1" t="s">
        <v>334</v>
      </c>
      <c r="AB2" s="1" t="s">
        <v>348</v>
      </c>
      <c r="AC2" s="1" t="s">
        <v>335</v>
      </c>
      <c r="AD2" s="1" t="s">
        <v>334</v>
      </c>
      <c r="AE2" s="1" t="s">
        <v>348</v>
      </c>
      <c r="AF2" s="1" t="s">
        <v>335</v>
      </c>
      <c r="AG2" s="1" t="s">
        <v>334</v>
      </c>
      <c r="AH2" s="1" t="s">
        <v>348</v>
      </c>
      <c r="AI2" s="1" t="s">
        <v>335</v>
      </c>
      <c r="AJ2" s="1" t="s">
        <v>334</v>
      </c>
      <c r="AK2" s="1" t="s">
        <v>348</v>
      </c>
      <c r="AL2" s="1" t="s">
        <v>335</v>
      </c>
      <c r="AM2" s="1" t="s">
        <v>334</v>
      </c>
      <c r="AN2" s="1" t="s">
        <v>348</v>
      </c>
      <c r="AO2" s="1" t="s">
        <v>335</v>
      </c>
      <c r="AP2" s="1" t="s">
        <v>334</v>
      </c>
    </row>
    <row r="3" spans="1:42" ht="14.25" customHeight="1" x14ac:dyDescent="0.3">
      <c r="A3" s="1">
        <v>0</v>
      </c>
      <c r="B3" s="1">
        <v>10</v>
      </c>
      <c r="C3" s="1">
        <v>10</v>
      </c>
      <c r="D3" s="1">
        <v>0</v>
      </c>
      <c r="E3" s="1">
        <v>10</v>
      </c>
      <c r="F3" s="1">
        <v>10</v>
      </c>
      <c r="G3" s="1">
        <v>0</v>
      </c>
      <c r="H3" s="1">
        <v>10</v>
      </c>
      <c r="I3" s="1">
        <v>10</v>
      </c>
      <c r="J3" s="1">
        <v>0</v>
      </c>
      <c r="K3" s="1">
        <v>15</v>
      </c>
      <c r="L3" s="1">
        <v>15</v>
      </c>
      <c r="M3" s="1">
        <v>0</v>
      </c>
      <c r="N3" s="1">
        <v>1.5</v>
      </c>
      <c r="O3" s="1">
        <v>1.5</v>
      </c>
      <c r="P3" s="1">
        <v>0</v>
      </c>
      <c r="Q3" s="1">
        <v>1.5</v>
      </c>
      <c r="R3" s="1">
        <v>1.5</v>
      </c>
      <c r="S3" s="1">
        <v>0</v>
      </c>
      <c r="T3" s="1">
        <v>10</v>
      </c>
      <c r="U3" s="1">
        <v>10</v>
      </c>
      <c r="V3" s="1">
        <v>0</v>
      </c>
      <c r="W3" s="1">
        <v>10</v>
      </c>
      <c r="X3" s="1">
        <v>10</v>
      </c>
      <c r="Y3" s="1">
        <v>0</v>
      </c>
      <c r="Z3" s="1">
        <v>2</v>
      </c>
      <c r="AA3" s="1">
        <v>2</v>
      </c>
      <c r="AB3" s="1">
        <v>0</v>
      </c>
      <c r="AC3" s="1">
        <v>3</v>
      </c>
      <c r="AD3" s="1">
        <v>3</v>
      </c>
      <c r="AE3" s="1">
        <v>0</v>
      </c>
      <c r="AF3" s="1">
        <v>3</v>
      </c>
      <c r="AG3" s="1">
        <v>3</v>
      </c>
      <c r="AH3" s="1">
        <v>0</v>
      </c>
      <c r="AI3" s="1">
        <v>3</v>
      </c>
      <c r="AJ3" s="1">
        <v>3</v>
      </c>
      <c r="AK3" s="1">
        <v>0</v>
      </c>
      <c r="AL3" s="1">
        <v>2.5</v>
      </c>
      <c r="AM3" s="1">
        <v>2.5</v>
      </c>
      <c r="AN3" s="1">
        <v>0</v>
      </c>
      <c r="AO3" s="1">
        <v>2.5</v>
      </c>
      <c r="AP3" s="1">
        <v>12</v>
      </c>
    </row>
    <row r="4" spans="1:42" ht="13.5" customHeight="1" x14ac:dyDescent="0.3">
      <c r="A4" s="1">
        <v>10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1000</v>
      </c>
      <c r="K4" s="1">
        <v>15</v>
      </c>
      <c r="L4" s="1">
        <v>15</v>
      </c>
      <c r="M4" s="1">
        <v>10</v>
      </c>
      <c r="N4" s="1">
        <v>1.5</v>
      </c>
      <c r="O4" s="1">
        <v>1.5</v>
      </c>
      <c r="P4" s="1">
        <v>10</v>
      </c>
      <c r="Q4" s="1">
        <v>1.5</v>
      </c>
      <c r="R4" s="1">
        <v>1.5</v>
      </c>
      <c r="S4" s="1">
        <v>10</v>
      </c>
      <c r="T4" s="1">
        <v>10</v>
      </c>
      <c r="U4" s="1">
        <v>10</v>
      </c>
      <c r="V4" s="1">
        <v>10</v>
      </c>
      <c r="W4" s="1">
        <v>10</v>
      </c>
      <c r="X4" s="1">
        <v>10</v>
      </c>
      <c r="Y4" s="1">
        <v>10</v>
      </c>
      <c r="Z4" s="1">
        <v>2</v>
      </c>
      <c r="AA4" s="1">
        <v>2</v>
      </c>
      <c r="AB4" s="1">
        <v>10</v>
      </c>
      <c r="AC4" s="1">
        <v>3</v>
      </c>
      <c r="AD4" s="1">
        <v>3</v>
      </c>
      <c r="AE4" s="1">
        <v>10</v>
      </c>
      <c r="AF4" s="1">
        <v>3</v>
      </c>
      <c r="AG4" s="1">
        <v>3</v>
      </c>
      <c r="AH4" s="1">
        <v>10</v>
      </c>
      <c r="AI4" s="1">
        <v>3</v>
      </c>
      <c r="AJ4" s="1">
        <v>3</v>
      </c>
      <c r="AK4" s="1">
        <v>10</v>
      </c>
      <c r="AL4" s="1">
        <v>2.5</v>
      </c>
      <c r="AM4" s="1">
        <v>2.5</v>
      </c>
      <c r="AN4" s="1">
        <v>10</v>
      </c>
      <c r="AO4" s="1">
        <v>2.5</v>
      </c>
      <c r="AP4" s="1">
        <v>12</v>
      </c>
    </row>
    <row r="5" spans="1:42" ht="13.5" customHeight="1" x14ac:dyDescent="0.3">
      <c r="A5" s="1">
        <v>15</v>
      </c>
      <c r="B5" s="1">
        <v>15</v>
      </c>
      <c r="C5" s="1">
        <v>15</v>
      </c>
      <c r="D5" s="1">
        <v>15</v>
      </c>
      <c r="E5" s="1">
        <v>15</v>
      </c>
      <c r="F5" s="1">
        <v>15</v>
      </c>
      <c r="G5" s="1">
        <v>15</v>
      </c>
      <c r="H5" s="1">
        <v>15</v>
      </c>
      <c r="I5" s="1">
        <v>15</v>
      </c>
      <c r="J5" s="1">
        <v>2000</v>
      </c>
      <c r="K5" s="1">
        <v>15</v>
      </c>
      <c r="L5" s="1">
        <v>15</v>
      </c>
      <c r="M5" s="1">
        <v>15</v>
      </c>
      <c r="N5" s="1">
        <v>1.5</v>
      </c>
      <c r="O5" s="1">
        <v>1.5</v>
      </c>
      <c r="P5" s="1">
        <v>15</v>
      </c>
      <c r="Q5" s="1">
        <v>1.5</v>
      </c>
      <c r="R5" s="1">
        <v>1.5</v>
      </c>
      <c r="S5" s="1">
        <v>15</v>
      </c>
      <c r="T5" s="1">
        <v>15</v>
      </c>
      <c r="U5" s="1">
        <v>15</v>
      </c>
      <c r="V5" s="1">
        <v>15</v>
      </c>
      <c r="W5" s="1">
        <v>15</v>
      </c>
      <c r="X5" s="1">
        <v>15</v>
      </c>
      <c r="Y5" s="1">
        <v>15</v>
      </c>
      <c r="Z5" s="1">
        <v>2</v>
      </c>
      <c r="AA5" s="1">
        <v>2</v>
      </c>
      <c r="AB5" s="1">
        <v>15</v>
      </c>
      <c r="AC5" s="1">
        <v>3</v>
      </c>
      <c r="AD5" s="1">
        <v>3</v>
      </c>
      <c r="AE5" s="1">
        <v>15</v>
      </c>
      <c r="AF5" s="1">
        <v>3</v>
      </c>
      <c r="AG5" s="1">
        <v>3</v>
      </c>
      <c r="AH5" s="1">
        <v>15</v>
      </c>
      <c r="AI5" s="1">
        <v>3</v>
      </c>
      <c r="AJ5" s="1">
        <v>3</v>
      </c>
      <c r="AK5" s="1">
        <v>15</v>
      </c>
      <c r="AL5" s="1">
        <v>2.5</v>
      </c>
      <c r="AM5" s="1">
        <v>2.5</v>
      </c>
      <c r="AN5" s="1">
        <v>15</v>
      </c>
      <c r="AO5" s="1">
        <v>2.5</v>
      </c>
      <c r="AP5" s="1">
        <v>12</v>
      </c>
    </row>
    <row r="6" spans="1:42" ht="13.5" customHeight="1" x14ac:dyDescent="0.3">
      <c r="A6" s="1">
        <v>20</v>
      </c>
      <c r="B6" s="1">
        <v>20</v>
      </c>
      <c r="C6" s="1">
        <v>20</v>
      </c>
      <c r="D6" s="1">
        <v>20</v>
      </c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1">
        <v>3000</v>
      </c>
      <c r="K6" s="1">
        <v>15</v>
      </c>
      <c r="L6" s="1">
        <v>15</v>
      </c>
      <c r="M6" s="1">
        <v>20</v>
      </c>
      <c r="N6" s="1">
        <v>1.5</v>
      </c>
      <c r="O6" s="1">
        <v>1.5</v>
      </c>
      <c r="P6" s="1">
        <v>20</v>
      </c>
      <c r="Q6" s="1">
        <v>1.5</v>
      </c>
      <c r="R6" s="1">
        <v>1.5</v>
      </c>
      <c r="S6" s="1">
        <v>20</v>
      </c>
      <c r="T6" s="1">
        <v>20</v>
      </c>
      <c r="U6" s="1">
        <v>20</v>
      </c>
      <c r="V6" s="1">
        <v>20</v>
      </c>
      <c r="W6" s="1">
        <v>20</v>
      </c>
      <c r="X6" s="1">
        <v>20</v>
      </c>
      <c r="Y6" s="1">
        <v>20</v>
      </c>
      <c r="Z6" s="1">
        <v>2</v>
      </c>
      <c r="AA6" s="1">
        <v>2</v>
      </c>
      <c r="AB6" s="1">
        <v>20</v>
      </c>
      <c r="AC6" s="1">
        <v>3</v>
      </c>
      <c r="AD6" s="1">
        <v>3</v>
      </c>
      <c r="AE6" s="1">
        <v>20</v>
      </c>
      <c r="AF6" s="1">
        <v>3</v>
      </c>
      <c r="AG6" s="1">
        <v>3</v>
      </c>
      <c r="AH6" s="1">
        <v>20</v>
      </c>
      <c r="AI6" s="1">
        <v>3</v>
      </c>
      <c r="AJ6" s="1">
        <v>3</v>
      </c>
      <c r="AK6" s="1">
        <v>20</v>
      </c>
      <c r="AL6" s="1">
        <v>2.5</v>
      </c>
      <c r="AM6" s="1">
        <v>2.5</v>
      </c>
      <c r="AN6" s="1">
        <v>20</v>
      </c>
      <c r="AO6" s="1">
        <v>2.5</v>
      </c>
      <c r="AP6" s="1">
        <v>12</v>
      </c>
    </row>
    <row r="7" spans="1:42" ht="13.5" customHeight="1" x14ac:dyDescent="0.3">
      <c r="A7" s="1">
        <v>25</v>
      </c>
      <c r="B7" s="1">
        <v>25</v>
      </c>
      <c r="C7" s="1">
        <v>25</v>
      </c>
      <c r="D7" s="1">
        <v>25</v>
      </c>
      <c r="E7" s="1">
        <v>25</v>
      </c>
      <c r="F7" s="1">
        <v>25</v>
      </c>
      <c r="G7" s="1">
        <v>25</v>
      </c>
      <c r="H7" s="1">
        <v>25</v>
      </c>
      <c r="I7" s="1">
        <v>25</v>
      </c>
      <c r="J7" s="1">
        <v>4000</v>
      </c>
      <c r="K7" s="1">
        <v>15</v>
      </c>
      <c r="L7" s="1">
        <v>15</v>
      </c>
      <c r="M7" s="1">
        <v>25</v>
      </c>
      <c r="N7" s="1">
        <v>1.5</v>
      </c>
      <c r="O7" s="1">
        <v>1.5</v>
      </c>
      <c r="P7" s="1">
        <v>25</v>
      </c>
      <c r="Q7" s="1">
        <v>1.5</v>
      </c>
      <c r="R7" s="1">
        <v>1.5</v>
      </c>
      <c r="S7" s="1">
        <v>25</v>
      </c>
      <c r="T7" s="1">
        <v>25</v>
      </c>
      <c r="U7" s="1">
        <v>25</v>
      </c>
      <c r="V7" s="1">
        <v>25</v>
      </c>
      <c r="W7" s="1">
        <v>25</v>
      </c>
      <c r="X7" s="1">
        <v>25</v>
      </c>
      <c r="Y7" s="1">
        <v>25</v>
      </c>
      <c r="Z7" s="1">
        <v>2</v>
      </c>
      <c r="AA7" s="1">
        <v>2</v>
      </c>
      <c r="AB7" s="1">
        <v>25</v>
      </c>
      <c r="AC7" s="1">
        <v>3</v>
      </c>
      <c r="AD7" s="1">
        <v>3</v>
      </c>
      <c r="AE7" s="1">
        <v>25</v>
      </c>
      <c r="AF7" s="1">
        <v>3</v>
      </c>
      <c r="AG7" s="1">
        <v>3</v>
      </c>
      <c r="AH7" s="1">
        <v>25</v>
      </c>
      <c r="AI7" s="1">
        <v>3</v>
      </c>
      <c r="AJ7" s="1">
        <v>3</v>
      </c>
      <c r="AK7" s="1">
        <v>25</v>
      </c>
      <c r="AL7" s="1">
        <v>2.5</v>
      </c>
      <c r="AM7" s="1">
        <v>2.5</v>
      </c>
      <c r="AN7" s="1">
        <v>25</v>
      </c>
      <c r="AO7" s="1">
        <v>2.5</v>
      </c>
      <c r="AP7" s="1">
        <v>12</v>
      </c>
    </row>
    <row r="8" spans="1:42" ht="13.5" customHeight="1" x14ac:dyDescent="0.3">
      <c r="A8" s="1">
        <v>30</v>
      </c>
      <c r="B8" s="1">
        <v>30</v>
      </c>
      <c r="C8" s="1">
        <v>30</v>
      </c>
      <c r="D8" s="1">
        <v>30</v>
      </c>
      <c r="E8" s="1">
        <v>30</v>
      </c>
      <c r="F8" s="1">
        <v>30</v>
      </c>
      <c r="G8" s="1">
        <v>30</v>
      </c>
      <c r="H8" s="1">
        <v>30</v>
      </c>
      <c r="I8" s="1">
        <v>30</v>
      </c>
      <c r="J8" s="1">
        <v>5000</v>
      </c>
      <c r="K8" s="1">
        <v>15</v>
      </c>
      <c r="L8" s="1">
        <v>15</v>
      </c>
      <c r="M8" s="1">
        <v>30</v>
      </c>
      <c r="N8" s="1">
        <v>1.5</v>
      </c>
      <c r="O8" s="1">
        <v>1.5</v>
      </c>
      <c r="P8" s="1">
        <v>30</v>
      </c>
      <c r="Q8" s="1">
        <v>1.5</v>
      </c>
      <c r="R8" s="1">
        <v>1.5</v>
      </c>
      <c r="S8" s="1">
        <v>30</v>
      </c>
      <c r="T8" s="1">
        <v>30</v>
      </c>
      <c r="U8" s="1">
        <v>30</v>
      </c>
      <c r="V8" s="1">
        <v>30</v>
      </c>
      <c r="W8" s="1">
        <v>30</v>
      </c>
      <c r="X8" s="1">
        <v>30</v>
      </c>
      <c r="Y8" s="1">
        <v>30</v>
      </c>
      <c r="Z8" s="1">
        <v>2</v>
      </c>
      <c r="AA8" s="1">
        <v>2</v>
      </c>
      <c r="AB8" s="1">
        <v>30</v>
      </c>
      <c r="AC8" s="1">
        <v>3</v>
      </c>
      <c r="AD8" s="1">
        <v>3</v>
      </c>
      <c r="AE8" s="1">
        <v>30</v>
      </c>
      <c r="AF8" s="1">
        <v>3</v>
      </c>
      <c r="AG8" s="1">
        <v>3</v>
      </c>
      <c r="AH8" s="1">
        <v>30</v>
      </c>
      <c r="AI8" s="1">
        <v>3</v>
      </c>
      <c r="AJ8" s="1">
        <v>3</v>
      </c>
      <c r="AK8" s="1">
        <v>30</v>
      </c>
      <c r="AL8" s="1">
        <v>2.5</v>
      </c>
      <c r="AM8" s="1">
        <v>2.5</v>
      </c>
      <c r="AN8" s="1">
        <v>30</v>
      </c>
      <c r="AO8" s="1">
        <v>2.5</v>
      </c>
      <c r="AP8" s="1">
        <v>12</v>
      </c>
    </row>
    <row r="9" spans="1:42" ht="13.5" customHeight="1" x14ac:dyDescent="0.3">
      <c r="A9" s="1">
        <v>50</v>
      </c>
      <c r="B9" s="1">
        <v>50</v>
      </c>
      <c r="C9" s="1">
        <v>40</v>
      </c>
      <c r="D9" s="1">
        <v>50</v>
      </c>
      <c r="E9" s="1">
        <v>50</v>
      </c>
      <c r="F9" s="1">
        <v>50</v>
      </c>
      <c r="G9" s="1">
        <v>50</v>
      </c>
      <c r="H9" s="1">
        <v>30</v>
      </c>
      <c r="I9" s="1">
        <v>30</v>
      </c>
      <c r="J9" s="1">
        <v>6000</v>
      </c>
      <c r="K9" s="1">
        <v>15</v>
      </c>
      <c r="L9" s="1">
        <v>15</v>
      </c>
      <c r="M9" s="1">
        <v>50</v>
      </c>
      <c r="N9" s="1">
        <v>1.5</v>
      </c>
      <c r="O9" s="1">
        <v>1.5</v>
      </c>
      <c r="P9" s="1">
        <v>50</v>
      </c>
      <c r="Q9" s="1">
        <v>1.5</v>
      </c>
      <c r="R9" s="1">
        <v>1.5</v>
      </c>
      <c r="S9" s="1">
        <v>50</v>
      </c>
      <c r="T9" s="1">
        <v>50</v>
      </c>
      <c r="U9" s="1">
        <v>50</v>
      </c>
      <c r="V9" s="1">
        <v>50</v>
      </c>
      <c r="W9" s="1">
        <v>50</v>
      </c>
      <c r="X9" s="1">
        <v>50</v>
      </c>
      <c r="Y9" s="1">
        <v>50</v>
      </c>
      <c r="Z9" s="1">
        <v>2</v>
      </c>
      <c r="AA9" s="1">
        <v>2</v>
      </c>
      <c r="AB9" s="1">
        <v>50</v>
      </c>
      <c r="AC9" s="1">
        <v>3</v>
      </c>
      <c r="AD9" s="1">
        <v>3</v>
      </c>
      <c r="AE9" s="1">
        <v>50</v>
      </c>
      <c r="AF9" s="1">
        <v>3</v>
      </c>
      <c r="AG9" s="1">
        <v>3</v>
      </c>
      <c r="AH9" s="1">
        <v>50</v>
      </c>
      <c r="AI9" s="1">
        <v>3</v>
      </c>
      <c r="AJ9" s="1">
        <v>3</v>
      </c>
      <c r="AK9" s="1">
        <v>50</v>
      </c>
      <c r="AL9" s="1">
        <v>2.5</v>
      </c>
      <c r="AM9" s="1">
        <v>2.5</v>
      </c>
      <c r="AN9" s="1">
        <v>50</v>
      </c>
      <c r="AO9" s="1">
        <v>2.5</v>
      </c>
      <c r="AP9" s="1">
        <v>12</v>
      </c>
    </row>
    <row r="10" spans="1:42" ht="13.5" customHeight="1" x14ac:dyDescent="0.3">
      <c r="A10" s="1">
        <v>70</v>
      </c>
      <c r="B10" s="1">
        <v>60</v>
      </c>
      <c r="C10" s="1">
        <v>40</v>
      </c>
      <c r="D10" s="1">
        <v>70</v>
      </c>
      <c r="E10" s="1">
        <v>70</v>
      </c>
      <c r="F10" s="1">
        <v>70</v>
      </c>
      <c r="G10" s="1">
        <v>70</v>
      </c>
      <c r="H10" s="1">
        <v>30</v>
      </c>
      <c r="I10" s="1">
        <v>30</v>
      </c>
      <c r="J10" s="1">
        <v>7000</v>
      </c>
      <c r="K10" s="1">
        <v>25</v>
      </c>
      <c r="L10" s="1">
        <v>25</v>
      </c>
      <c r="M10" s="1">
        <v>70</v>
      </c>
      <c r="N10" s="1">
        <v>1.5</v>
      </c>
      <c r="O10" s="1">
        <v>1.5</v>
      </c>
      <c r="P10" s="1">
        <v>70</v>
      </c>
      <c r="Q10" s="1">
        <v>1.5</v>
      </c>
      <c r="R10" s="1">
        <v>1.5</v>
      </c>
      <c r="S10" s="1">
        <v>70</v>
      </c>
      <c r="T10" s="1">
        <v>70</v>
      </c>
      <c r="U10" s="1">
        <v>70</v>
      </c>
      <c r="V10" s="1">
        <v>70</v>
      </c>
      <c r="W10" s="1">
        <v>70</v>
      </c>
      <c r="X10" s="1">
        <v>70</v>
      </c>
      <c r="Y10" s="1">
        <v>70</v>
      </c>
      <c r="Z10" s="1">
        <v>2</v>
      </c>
      <c r="AA10" s="1">
        <v>2</v>
      </c>
      <c r="AB10" s="1">
        <v>70</v>
      </c>
      <c r="AC10" s="1">
        <v>3</v>
      </c>
      <c r="AD10" s="1">
        <v>3</v>
      </c>
      <c r="AE10" s="1">
        <v>70</v>
      </c>
      <c r="AF10" s="1">
        <v>3</v>
      </c>
      <c r="AG10" s="1">
        <v>3</v>
      </c>
      <c r="AH10" s="1">
        <v>70</v>
      </c>
      <c r="AI10" s="1">
        <v>3</v>
      </c>
      <c r="AJ10" s="1">
        <v>3</v>
      </c>
      <c r="AK10" s="1">
        <v>70</v>
      </c>
      <c r="AL10" s="1">
        <v>2.5</v>
      </c>
      <c r="AM10" s="1">
        <v>2.5</v>
      </c>
      <c r="AN10" s="1">
        <v>70</v>
      </c>
      <c r="AO10" s="1">
        <v>2.5</v>
      </c>
      <c r="AP10" s="1">
        <v>12</v>
      </c>
    </row>
    <row r="11" spans="1:42" ht="14.25" customHeight="1" x14ac:dyDescent="0.3">
      <c r="A11" s="1">
        <v>100</v>
      </c>
      <c r="B11" s="1">
        <v>65</v>
      </c>
      <c r="C11" s="1">
        <v>40</v>
      </c>
      <c r="D11" s="1">
        <v>100</v>
      </c>
      <c r="E11" s="1">
        <v>100</v>
      </c>
      <c r="F11" s="1">
        <v>90</v>
      </c>
      <c r="G11" s="1">
        <v>100</v>
      </c>
      <c r="H11" s="1">
        <v>30</v>
      </c>
      <c r="I11" s="1">
        <v>30</v>
      </c>
      <c r="J11" s="1">
        <v>8000</v>
      </c>
      <c r="K11" s="1">
        <v>50</v>
      </c>
      <c r="L11" s="1">
        <v>50</v>
      </c>
      <c r="M11" s="1">
        <v>100</v>
      </c>
      <c r="N11" s="1">
        <v>1.5</v>
      </c>
      <c r="O11" s="1">
        <v>1.5</v>
      </c>
      <c r="P11" s="1">
        <v>100</v>
      </c>
      <c r="Q11" s="1">
        <v>1.5</v>
      </c>
      <c r="R11" s="1">
        <v>1.5</v>
      </c>
      <c r="S11" s="1">
        <v>100</v>
      </c>
      <c r="T11" s="1">
        <v>100</v>
      </c>
      <c r="U11" s="1">
        <v>100</v>
      </c>
      <c r="V11" s="1">
        <v>100</v>
      </c>
      <c r="W11" s="1">
        <v>100</v>
      </c>
      <c r="X11" s="1">
        <v>100</v>
      </c>
      <c r="Y11" s="1">
        <v>100</v>
      </c>
      <c r="Z11" s="1">
        <v>2</v>
      </c>
      <c r="AA11" s="1">
        <v>2</v>
      </c>
      <c r="AB11" s="1">
        <v>100</v>
      </c>
      <c r="AC11" s="1">
        <v>3</v>
      </c>
      <c r="AD11" s="1">
        <v>3</v>
      </c>
      <c r="AE11" s="1">
        <v>100</v>
      </c>
      <c r="AF11" s="1">
        <v>3</v>
      </c>
      <c r="AG11" s="1">
        <v>3</v>
      </c>
      <c r="AH11" s="1">
        <v>100</v>
      </c>
      <c r="AI11" s="1">
        <v>3</v>
      </c>
      <c r="AJ11" s="1">
        <v>3</v>
      </c>
      <c r="AK11" s="1">
        <v>100</v>
      </c>
      <c r="AL11" s="1">
        <v>2.5</v>
      </c>
      <c r="AM11" s="1">
        <v>2.5</v>
      </c>
      <c r="AN11" s="1">
        <v>100</v>
      </c>
      <c r="AO11" s="1">
        <v>2.5</v>
      </c>
      <c r="AP11" s="1">
        <v>12</v>
      </c>
    </row>
    <row r="12" spans="1:42" ht="14.25" customHeight="1" x14ac:dyDescent="0.3">
      <c r="A12" s="1">
        <v>150</v>
      </c>
      <c r="B12" s="1">
        <v>65</v>
      </c>
      <c r="C12" s="1">
        <v>40</v>
      </c>
      <c r="D12" s="1">
        <v>150</v>
      </c>
      <c r="E12" s="1">
        <v>100</v>
      </c>
      <c r="F12" s="1">
        <v>90</v>
      </c>
      <c r="G12" s="1">
        <v>150</v>
      </c>
      <c r="H12" s="1">
        <v>30</v>
      </c>
      <c r="I12" s="1">
        <v>30</v>
      </c>
      <c r="J12" s="1">
        <v>9000</v>
      </c>
      <c r="K12" s="1">
        <v>80</v>
      </c>
      <c r="L12" s="1">
        <v>80</v>
      </c>
      <c r="M12" s="1">
        <v>150</v>
      </c>
      <c r="N12" s="1">
        <v>1.5</v>
      </c>
      <c r="O12" s="1">
        <v>1.5</v>
      </c>
      <c r="P12" s="1">
        <v>150</v>
      </c>
      <c r="Q12" s="1">
        <v>1.5</v>
      </c>
      <c r="R12" s="1">
        <v>1.5</v>
      </c>
      <c r="S12" s="1">
        <v>150</v>
      </c>
      <c r="T12" s="1">
        <v>150</v>
      </c>
      <c r="U12" s="1">
        <v>150</v>
      </c>
      <c r="V12" s="1">
        <v>150</v>
      </c>
      <c r="W12" s="1">
        <v>150</v>
      </c>
      <c r="X12" s="1">
        <v>150</v>
      </c>
      <c r="Y12" s="1">
        <v>150</v>
      </c>
      <c r="Z12" s="1">
        <v>2</v>
      </c>
      <c r="AA12" s="1">
        <v>2</v>
      </c>
      <c r="AB12" s="1">
        <v>150</v>
      </c>
      <c r="AC12" s="1">
        <v>3</v>
      </c>
      <c r="AD12" s="1">
        <v>3</v>
      </c>
      <c r="AE12" s="1">
        <v>150</v>
      </c>
      <c r="AF12" s="1">
        <v>3</v>
      </c>
      <c r="AG12" s="1">
        <v>3</v>
      </c>
      <c r="AH12" s="1">
        <v>150</v>
      </c>
      <c r="AI12" s="1">
        <v>3</v>
      </c>
      <c r="AJ12" s="1">
        <v>3</v>
      </c>
      <c r="AK12" s="1">
        <v>150</v>
      </c>
      <c r="AL12" s="1">
        <v>2.5</v>
      </c>
      <c r="AM12" s="1">
        <v>2.5</v>
      </c>
      <c r="AN12" s="1">
        <v>150</v>
      </c>
      <c r="AO12" s="1">
        <v>2.5</v>
      </c>
      <c r="AP12" s="1">
        <v>12</v>
      </c>
    </row>
    <row r="13" spans="1:42" ht="14.25" customHeight="1" x14ac:dyDescent="0.3">
      <c r="A13" s="1">
        <v>200</v>
      </c>
      <c r="B13" s="1">
        <v>65</v>
      </c>
      <c r="C13" s="1">
        <v>40</v>
      </c>
      <c r="D13" s="1">
        <v>200</v>
      </c>
      <c r="E13" s="1">
        <v>100</v>
      </c>
      <c r="F13" s="1">
        <v>90</v>
      </c>
      <c r="G13" s="1">
        <v>200</v>
      </c>
      <c r="H13" s="1">
        <v>30</v>
      </c>
      <c r="I13" s="1">
        <v>30</v>
      </c>
      <c r="J13" s="1">
        <v>10000</v>
      </c>
      <c r="K13" s="1">
        <v>80</v>
      </c>
      <c r="L13" s="1">
        <v>80</v>
      </c>
      <c r="M13" s="1">
        <v>200</v>
      </c>
      <c r="N13" s="1">
        <v>1.5</v>
      </c>
      <c r="O13" s="1">
        <v>1.5</v>
      </c>
      <c r="P13" s="1">
        <v>200</v>
      </c>
      <c r="Q13" s="1">
        <v>1.5</v>
      </c>
      <c r="R13" s="1">
        <v>1.5</v>
      </c>
      <c r="S13" s="1">
        <v>200</v>
      </c>
      <c r="T13" s="1">
        <v>200</v>
      </c>
      <c r="U13" s="1">
        <v>200</v>
      </c>
      <c r="V13" s="1">
        <v>200</v>
      </c>
      <c r="W13" s="1">
        <v>200</v>
      </c>
      <c r="X13" s="1">
        <v>200</v>
      </c>
      <c r="Y13" s="1">
        <v>200</v>
      </c>
      <c r="Z13" s="1">
        <v>2</v>
      </c>
      <c r="AA13" s="1">
        <v>2</v>
      </c>
      <c r="AB13" s="1">
        <v>200</v>
      </c>
      <c r="AC13" s="1">
        <v>3</v>
      </c>
      <c r="AD13" s="1">
        <v>3</v>
      </c>
      <c r="AE13" s="1">
        <v>200</v>
      </c>
      <c r="AF13" s="1">
        <v>3</v>
      </c>
      <c r="AG13" s="1">
        <v>3</v>
      </c>
      <c r="AH13" s="1">
        <v>200</v>
      </c>
      <c r="AI13" s="1">
        <v>3</v>
      </c>
      <c r="AJ13" s="1">
        <v>3</v>
      </c>
      <c r="AK13" s="1">
        <v>200</v>
      </c>
      <c r="AL13" s="1">
        <v>2.5</v>
      </c>
      <c r="AM13" s="1">
        <v>2.5</v>
      </c>
      <c r="AN13" s="1">
        <v>200</v>
      </c>
      <c r="AO13" s="1">
        <v>2.5</v>
      </c>
      <c r="AP13" s="1">
        <v>12</v>
      </c>
    </row>
    <row r="14" spans="1:42" ht="14.25" customHeight="1" x14ac:dyDescent="0.3">
      <c r="A14" s="1">
        <v>300</v>
      </c>
      <c r="B14" s="1">
        <v>65</v>
      </c>
      <c r="C14" s="1">
        <v>40</v>
      </c>
      <c r="D14" s="1">
        <v>300</v>
      </c>
      <c r="E14" s="1">
        <v>100</v>
      </c>
      <c r="F14" s="1">
        <v>90</v>
      </c>
      <c r="G14" s="1">
        <v>300</v>
      </c>
      <c r="H14" s="1">
        <v>30</v>
      </c>
      <c r="I14" s="1">
        <v>30</v>
      </c>
      <c r="J14" s="1">
        <v>11000</v>
      </c>
      <c r="K14" s="1">
        <v>80</v>
      </c>
      <c r="L14" s="1">
        <v>80</v>
      </c>
      <c r="M14" s="1">
        <v>300</v>
      </c>
      <c r="N14" s="1">
        <v>1.5</v>
      </c>
      <c r="O14" s="1">
        <v>1.5</v>
      </c>
      <c r="P14" s="1">
        <v>300</v>
      </c>
      <c r="Q14" s="1">
        <v>1.5</v>
      </c>
      <c r="R14" s="1">
        <v>1.5</v>
      </c>
      <c r="S14" s="1">
        <v>300</v>
      </c>
      <c r="T14" s="1">
        <v>300</v>
      </c>
      <c r="U14" s="1">
        <v>300</v>
      </c>
      <c r="V14" s="1">
        <v>300</v>
      </c>
      <c r="W14" s="1">
        <v>300</v>
      </c>
      <c r="X14" s="1">
        <v>300</v>
      </c>
      <c r="Y14" s="1">
        <v>300</v>
      </c>
      <c r="Z14" s="1">
        <v>2</v>
      </c>
      <c r="AA14" s="1">
        <v>2</v>
      </c>
      <c r="AB14" s="1">
        <v>300</v>
      </c>
      <c r="AC14" s="1">
        <v>3</v>
      </c>
      <c r="AD14" s="1">
        <v>3</v>
      </c>
      <c r="AE14" s="1">
        <v>300</v>
      </c>
      <c r="AF14" s="1">
        <v>3</v>
      </c>
      <c r="AG14" s="1">
        <v>3</v>
      </c>
      <c r="AH14" s="1">
        <v>300</v>
      </c>
      <c r="AI14" s="1">
        <v>3</v>
      </c>
      <c r="AJ14" s="1">
        <v>3</v>
      </c>
      <c r="AK14" s="1">
        <v>300</v>
      </c>
      <c r="AL14" s="1">
        <v>2.5</v>
      </c>
      <c r="AM14" s="1">
        <v>2.5</v>
      </c>
      <c r="AN14" s="1">
        <v>300</v>
      </c>
      <c r="AO14" s="1">
        <v>2.5</v>
      </c>
      <c r="AP14" s="1">
        <v>12</v>
      </c>
    </row>
    <row r="15" spans="1:42" ht="14.25" customHeight="1" x14ac:dyDescent="0.3">
      <c r="A15" s="1">
        <v>500</v>
      </c>
      <c r="B15" s="1">
        <v>65</v>
      </c>
      <c r="C15" s="1">
        <v>40</v>
      </c>
      <c r="D15" s="1">
        <v>500</v>
      </c>
      <c r="E15" s="1">
        <v>100</v>
      </c>
      <c r="F15" s="1">
        <v>90</v>
      </c>
      <c r="G15" s="1">
        <v>500</v>
      </c>
      <c r="H15" s="1">
        <v>30</v>
      </c>
      <c r="I15" s="1">
        <v>30</v>
      </c>
      <c r="J15" s="1">
        <v>12000</v>
      </c>
      <c r="K15" s="1">
        <v>80</v>
      </c>
      <c r="L15" s="1">
        <v>80</v>
      </c>
      <c r="M15" s="1">
        <v>500</v>
      </c>
      <c r="N15" s="1">
        <v>1.5</v>
      </c>
      <c r="O15" s="1">
        <v>1.5</v>
      </c>
      <c r="P15" s="1">
        <v>500</v>
      </c>
      <c r="Q15" s="1">
        <v>1.5</v>
      </c>
      <c r="R15" s="1">
        <v>1.5</v>
      </c>
      <c r="S15" s="1">
        <v>500</v>
      </c>
      <c r="T15" s="1">
        <v>500</v>
      </c>
      <c r="U15" s="1">
        <v>350</v>
      </c>
      <c r="V15" s="1">
        <v>500</v>
      </c>
      <c r="W15" s="1">
        <v>500</v>
      </c>
      <c r="X15" s="1">
        <v>500</v>
      </c>
      <c r="Y15" s="1">
        <v>500</v>
      </c>
      <c r="Z15" s="1">
        <v>2</v>
      </c>
      <c r="AA15" s="1">
        <v>2</v>
      </c>
      <c r="AB15" s="1">
        <v>500</v>
      </c>
      <c r="AC15" s="1">
        <v>3</v>
      </c>
      <c r="AD15" s="1">
        <v>3</v>
      </c>
      <c r="AE15" s="1">
        <v>500</v>
      </c>
      <c r="AF15" s="1">
        <v>3</v>
      </c>
      <c r="AG15" s="1">
        <v>3</v>
      </c>
      <c r="AH15" s="1">
        <v>500</v>
      </c>
      <c r="AI15" s="1">
        <v>3</v>
      </c>
      <c r="AJ15" s="1">
        <v>3</v>
      </c>
      <c r="AK15" s="1">
        <v>500</v>
      </c>
      <c r="AL15" s="1">
        <v>2.5</v>
      </c>
      <c r="AM15" s="1">
        <v>2.5</v>
      </c>
      <c r="AN15" s="1">
        <v>500</v>
      </c>
      <c r="AO15" s="1">
        <v>2.5</v>
      </c>
      <c r="AP15" s="1">
        <v>12</v>
      </c>
    </row>
    <row r="16" spans="1:42" ht="14.25" customHeight="1" x14ac:dyDescent="0.3">
      <c r="A16" s="1">
        <v>800</v>
      </c>
      <c r="B16" s="1">
        <v>65</v>
      </c>
      <c r="C16" s="1">
        <v>40</v>
      </c>
      <c r="D16" s="1">
        <v>800</v>
      </c>
      <c r="E16" s="1">
        <v>100</v>
      </c>
      <c r="F16" s="1">
        <v>90</v>
      </c>
      <c r="G16" s="1">
        <v>800</v>
      </c>
      <c r="H16" s="1">
        <v>30</v>
      </c>
      <c r="I16" s="1">
        <v>30</v>
      </c>
      <c r="J16" s="1">
        <v>13000</v>
      </c>
      <c r="K16" s="1">
        <v>80</v>
      </c>
      <c r="L16" s="1">
        <v>80</v>
      </c>
      <c r="M16" s="1">
        <v>800</v>
      </c>
      <c r="N16" s="1">
        <v>1.5</v>
      </c>
      <c r="O16" s="1">
        <v>1.5</v>
      </c>
      <c r="P16" s="1">
        <v>800</v>
      </c>
      <c r="Q16" s="1">
        <v>1.5</v>
      </c>
      <c r="R16" s="1">
        <v>1.5</v>
      </c>
      <c r="S16" s="1">
        <v>800</v>
      </c>
      <c r="T16" s="1">
        <v>500</v>
      </c>
      <c r="U16" s="1">
        <v>350</v>
      </c>
      <c r="V16" s="1">
        <v>800</v>
      </c>
      <c r="W16" s="1">
        <v>500</v>
      </c>
      <c r="X16" s="1">
        <v>500</v>
      </c>
      <c r="Y16" s="1">
        <v>800</v>
      </c>
      <c r="Z16" s="1">
        <v>2</v>
      </c>
      <c r="AA16" s="1">
        <v>2</v>
      </c>
      <c r="AB16" s="1">
        <v>800</v>
      </c>
      <c r="AC16" s="1">
        <v>3</v>
      </c>
      <c r="AD16" s="1">
        <v>3</v>
      </c>
      <c r="AE16" s="1">
        <v>800</v>
      </c>
      <c r="AF16" s="1">
        <v>3</v>
      </c>
      <c r="AG16" s="1">
        <v>3</v>
      </c>
      <c r="AH16" s="1">
        <v>800</v>
      </c>
      <c r="AI16" s="1">
        <v>3</v>
      </c>
      <c r="AJ16" s="1">
        <v>3</v>
      </c>
      <c r="AK16" s="1">
        <v>800</v>
      </c>
      <c r="AL16" s="1">
        <v>2.5</v>
      </c>
      <c r="AM16" s="1">
        <v>2.5</v>
      </c>
      <c r="AN16" s="1">
        <v>800</v>
      </c>
      <c r="AO16" s="1">
        <v>2.5</v>
      </c>
      <c r="AP16" s="1">
        <v>12</v>
      </c>
    </row>
    <row r="17" spans="1:42" ht="14.25" customHeight="1" x14ac:dyDescent="0.3">
      <c r="A17" s="1">
        <v>1200</v>
      </c>
      <c r="B17" s="1">
        <v>65</v>
      </c>
      <c r="C17" s="1">
        <v>40</v>
      </c>
      <c r="D17" s="1">
        <v>1200</v>
      </c>
      <c r="E17" s="1">
        <v>100</v>
      </c>
      <c r="F17" s="1">
        <v>90</v>
      </c>
      <c r="G17" s="1">
        <v>1200</v>
      </c>
      <c r="H17" s="1">
        <v>30</v>
      </c>
      <c r="I17" s="1">
        <v>30</v>
      </c>
      <c r="J17" s="1">
        <v>14000</v>
      </c>
      <c r="K17" s="1">
        <v>80</v>
      </c>
      <c r="L17" s="1">
        <v>80</v>
      </c>
      <c r="M17" s="1">
        <v>1200</v>
      </c>
      <c r="N17" s="1">
        <v>1.5</v>
      </c>
      <c r="O17" s="1">
        <v>1.5</v>
      </c>
      <c r="P17" s="1">
        <v>1200</v>
      </c>
      <c r="Q17" s="1">
        <v>1.5</v>
      </c>
      <c r="R17" s="1">
        <v>1.5</v>
      </c>
      <c r="S17" s="1">
        <v>1200</v>
      </c>
      <c r="T17" s="1">
        <v>500</v>
      </c>
      <c r="U17" s="1">
        <v>350</v>
      </c>
      <c r="V17" s="1">
        <v>1200</v>
      </c>
      <c r="W17" s="1">
        <v>500</v>
      </c>
      <c r="X17" s="1">
        <v>500</v>
      </c>
      <c r="Y17" s="1">
        <v>1200</v>
      </c>
      <c r="Z17" s="1">
        <v>2</v>
      </c>
      <c r="AA17" s="1">
        <v>2</v>
      </c>
      <c r="AB17" s="1">
        <v>1200</v>
      </c>
      <c r="AC17" s="1">
        <v>3</v>
      </c>
      <c r="AD17" s="1">
        <v>3</v>
      </c>
      <c r="AE17" s="1">
        <v>1200</v>
      </c>
      <c r="AF17" s="1">
        <v>3</v>
      </c>
      <c r="AG17" s="1">
        <v>3</v>
      </c>
      <c r="AH17" s="1">
        <v>1200</v>
      </c>
      <c r="AI17" s="1">
        <v>3</v>
      </c>
      <c r="AJ17" s="1">
        <v>3</v>
      </c>
      <c r="AK17" s="1">
        <v>1200</v>
      </c>
      <c r="AL17" s="1">
        <v>2.5</v>
      </c>
      <c r="AM17" s="1">
        <v>2.5</v>
      </c>
      <c r="AN17" s="1">
        <v>1200</v>
      </c>
      <c r="AO17" s="1">
        <v>2.5</v>
      </c>
      <c r="AP17" s="1">
        <v>12</v>
      </c>
    </row>
    <row r="18" spans="1:42" ht="14.25" customHeight="1" x14ac:dyDescent="0.3">
      <c r="A18" s="1">
        <v>5000</v>
      </c>
      <c r="B18" s="1">
        <v>65</v>
      </c>
      <c r="C18" s="1">
        <v>40</v>
      </c>
      <c r="D18" s="1">
        <v>5000</v>
      </c>
      <c r="E18" s="1">
        <v>100</v>
      </c>
      <c r="F18" s="1">
        <v>90</v>
      </c>
      <c r="G18" s="1">
        <v>5000</v>
      </c>
      <c r="H18" s="1">
        <v>30</v>
      </c>
      <c r="I18" s="1">
        <v>30</v>
      </c>
      <c r="J18" s="1">
        <v>15000</v>
      </c>
      <c r="K18" s="1">
        <v>80</v>
      </c>
      <c r="L18" s="1">
        <v>80</v>
      </c>
      <c r="M18" s="1">
        <v>5000</v>
      </c>
      <c r="N18" s="1">
        <v>1.5</v>
      </c>
      <c r="O18" s="1">
        <v>1.5</v>
      </c>
      <c r="P18" s="1">
        <v>5000</v>
      </c>
      <c r="Q18" s="1">
        <v>1.5</v>
      </c>
      <c r="R18" s="1">
        <v>1.5</v>
      </c>
      <c r="S18" s="1">
        <v>5000</v>
      </c>
      <c r="T18" s="1">
        <v>500</v>
      </c>
      <c r="U18" s="1">
        <v>350</v>
      </c>
      <c r="V18" s="1">
        <v>5000</v>
      </c>
      <c r="W18" s="1">
        <v>500</v>
      </c>
      <c r="X18" s="1">
        <v>500</v>
      </c>
      <c r="Y18" s="1">
        <v>5000</v>
      </c>
      <c r="Z18" s="1">
        <v>2</v>
      </c>
      <c r="AA18" s="1">
        <v>2</v>
      </c>
      <c r="AB18" s="1">
        <v>5000</v>
      </c>
      <c r="AC18" s="1">
        <v>3</v>
      </c>
      <c r="AD18" s="1">
        <v>3</v>
      </c>
      <c r="AE18" s="1">
        <v>5000</v>
      </c>
      <c r="AF18" s="1">
        <v>3</v>
      </c>
      <c r="AG18" s="1">
        <v>3</v>
      </c>
      <c r="AH18" s="1">
        <v>5000</v>
      </c>
      <c r="AI18" s="1">
        <v>3</v>
      </c>
      <c r="AJ18" s="1">
        <v>3</v>
      </c>
      <c r="AK18" s="1">
        <v>5000</v>
      </c>
      <c r="AL18" s="1">
        <v>2.5</v>
      </c>
      <c r="AM18" s="1">
        <v>2.5</v>
      </c>
      <c r="AN18" s="1">
        <v>5000</v>
      </c>
      <c r="AO18" s="1">
        <v>2.5</v>
      </c>
      <c r="AP18" s="1">
        <v>12</v>
      </c>
    </row>
    <row r="19" spans="1:42" ht="14.25" customHeight="1" x14ac:dyDescent="0.3">
      <c r="A19" s="1">
        <v>10000</v>
      </c>
      <c r="B19" s="1">
        <v>65</v>
      </c>
      <c r="C19" s="1">
        <v>40</v>
      </c>
      <c r="D19" s="1">
        <v>10000</v>
      </c>
      <c r="E19" s="1">
        <v>100</v>
      </c>
      <c r="F19" s="1">
        <v>90</v>
      </c>
      <c r="G19" s="1">
        <v>10000</v>
      </c>
      <c r="H19" s="1">
        <v>30</v>
      </c>
      <c r="I19" s="1">
        <v>30</v>
      </c>
      <c r="J19" s="1">
        <v>16000</v>
      </c>
      <c r="K19" s="1">
        <v>80</v>
      </c>
      <c r="L19" s="1">
        <v>80</v>
      </c>
      <c r="M19" s="1">
        <v>10000</v>
      </c>
      <c r="N19" s="1">
        <v>1.5</v>
      </c>
      <c r="O19" s="1">
        <v>1.5</v>
      </c>
      <c r="P19" s="1">
        <v>10000</v>
      </c>
      <c r="Q19" s="1">
        <v>1.5</v>
      </c>
      <c r="R19" s="1">
        <v>1.5</v>
      </c>
      <c r="S19" s="1">
        <v>10000</v>
      </c>
      <c r="T19" s="1">
        <v>500</v>
      </c>
      <c r="U19" s="1">
        <v>350</v>
      </c>
      <c r="V19" s="1">
        <v>10000</v>
      </c>
      <c r="W19" s="1">
        <v>500</v>
      </c>
      <c r="X19" s="1">
        <v>500</v>
      </c>
      <c r="Y19" s="1">
        <v>10000</v>
      </c>
      <c r="Z19" s="1">
        <v>2</v>
      </c>
      <c r="AA19" s="1">
        <v>2</v>
      </c>
      <c r="AB19" s="1">
        <v>10000</v>
      </c>
      <c r="AC19" s="1">
        <v>3</v>
      </c>
      <c r="AD19" s="1">
        <v>3</v>
      </c>
      <c r="AE19" s="1">
        <v>10000</v>
      </c>
      <c r="AF19" s="1">
        <v>3</v>
      </c>
      <c r="AG19" s="1">
        <v>3</v>
      </c>
      <c r="AH19" s="1">
        <v>10000</v>
      </c>
      <c r="AI19" s="1">
        <v>3</v>
      </c>
      <c r="AJ19" s="1">
        <v>3</v>
      </c>
      <c r="AK19" s="1">
        <v>10000</v>
      </c>
      <c r="AL19" s="1">
        <v>2.5</v>
      </c>
      <c r="AM19" s="1">
        <v>2.5</v>
      </c>
      <c r="AN19" s="1">
        <v>10000</v>
      </c>
      <c r="AO19" s="1">
        <v>2.5</v>
      </c>
      <c r="AP19" s="1">
        <v>12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8E48-E802-4C16-9A12-1EEFBF962581}">
  <dimension ref="A1:AP23"/>
  <sheetViews>
    <sheetView workbookViewId="0">
      <selection activeCell="A21" sqref="A21"/>
    </sheetView>
  </sheetViews>
  <sheetFormatPr defaultColWidth="10.109375" defaultRowHeight="14.25" customHeight="1" x14ac:dyDescent="0.3"/>
  <cols>
    <col min="1" max="1" width="10.109375" style="1"/>
    <col min="2" max="2" width="14" style="1" customWidth="1"/>
    <col min="3" max="3" width="14.88671875" style="1" bestFit="1" customWidth="1"/>
    <col min="4" max="4" width="10.109375" style="1"/>
    <col min="5" max="5" width="14" style="1" bestFit="1" customWidth="1"/>
    <col min="6" max="6" width="14.88671875" style="1" bestFit="1" customWidth="1"/>
    <col min="7" max="28" width="14.88671875" style="1" customWidth="1"/>
    <col min="29" max="29" width="10.109375" style="1"/>
    <col min="30" max="30" width="11.21875" style="1" customWidth="1"/>
    <col min="31" max="31" width="14.88671875" style="1" customWidth="1"/>
    <col min="32" max="32" width="10.109375" style="1"/>
    <col min="33" max="33" width="11.21875" style="1" customWidth="1"/>
    <col min="34" max="34" width="14.88671875" style="1" customWidth="1"/>
    <col min="35" max="35" width="10.109375" style="1"/>
    <col min="36" max="36" width="11.21875" style="1" customWidth="1"/>
    <col min="37" max="39" width="14.88671875" style="1" customWidth="1"/>
    <col min="40" max="16384" width="10.109375" style="1"/>
  </cols>
  <sheetData>
    <row r="1" spans="1:42" ht="14.25" customHeight="1" x14ac:dyDescent="0.3">
      <c r="A1" s="1" t="s">
        <v>286</v>
      </c>
      <c r="B1" s="1" t="s">
        <v>286</v>
      </c>
      <c r="C1" s="1" t="s">
        <v>286</v>
      </c>
      <c r="D1" s="1" t="s">
        <v>287</v>
      </c>
      <c r="E1" s="1" t="s">
        <v>287</v>
      </c>
      <c r="F1" s="1" t="s">
        <v>287</v>
      </c>
      <c r="G1" s="1" t="s">
        <v>282</v>
      </c>
      <c r="H1" s="1" t="s">
        <v>282</v>
      </c>
      <c r="I1" s="1" t="s">
        <v>282</v>
      </c>
      <c r="J1" s="1" t="s">
        <v>326</v>
      </c>
      <c r="K1" s="1" t="s">
        <v>326</v>
      </c>
      <c r="L1" s="1" t="s">
        <v>326</v>
      </c>
      <c r="M1" s="1" t="s">
        <v>327</v>
      </c>
      <c r="N1" s="1" t="s">
        <v>327</v>
      </c>
      <c r="O1" s="1" t="s">
        <v>327</v>
      </c>
      <c r="P1" s="1" t="s">
        <v>380</v>
      </c>
      <c r="Q1" s="1" t="s">
        <v>380</v>
      </c>
      <c r="R1" s="1" t="s">
        <v>380</v>
      </c>
      <c r="S1" s="1" t="s">
        <v>378</v>
      </c>
      <c r="T1" s="1" t="s">
        <v>378</v>
      </c>
      <c r="U1" s="1" t="s">
        <v>378</v>
      </c>
      <c r="V1" s="1" t="s">
        <v>379</v>
      </c>
      <c r="W1" s="1" t="s">
        <v>379</v>
      </c>
      <c r="X1" s="1" t="s">
        <v>379</v>
      </c>
      <c r="Y1" s="1" t="s">
        <v>142</v>
      </c>
      <c r="Z1" s="1" t="s">
        <v>142</v>
      </c>
      <c r="AA1" s="1" t="s">
        <v>142</v>
      </c>
      <c r="AB1" s="1" t="s">
        <v>75</v>
      </c>
      <c r="AC1" s="1" t="s">
        <v>75</v>
      </c>
      <c r="AD1" s="1" t="s">
        <v>75</v>
      </c>
      <c r="AE1" s="1" t="s">
        <v>387</v>
      </c>
      <c r="AF1" s="1" t="s">
        <v>387</v>
      </c>
      <c r="AG1" s="1" t="s">
        <v>387</v>
      </c>
      <c r="AH1" s="1" t="s">
        <v>170</v>
      </c>
      <c r="AI1" s="1" t="s">
        <v>170</v>
      </c>
      <c r="AJ1" s="1" t="s">
        <v>170</v>
      </c>
      <c r="AK1" s="1" t="s">
        <v>69</v>
      </c>
      <c r="AL1" s="1" t="s">
        <v>69</v>
      </c>
      <c r="AM1" s="1" t="s">
        <v>69</v>
      </c>
      <c r="AN1" s="1" t="s">
        <v>375</v>
      </c>
      <c r="AO1" s="1" t="s">
        <v>375</v>
      </c>
      <c r="AP1" s="1" t="s">
        <v>375</v>
      </c>
    </row>
    <row r="2" spans="1:42" ht="14.25" customHeight="1" x14ac:dyDescent="0.3">
      <c r="A2" s="1" t="s">
        <v>386</v>
      </c>
      <c r="B2" s="1" t="s">
        <v>335</v>
      </c>
      <c r="C2" s="1" t="s">
        <v>334</v>
      </c>
      <c r="D2" s="1" t="s">
        <v>386</v>
      </c>
      <c r="E2" s="1" t="s">
        <v>335</v>
      </c>
      <c r="F2" s="1" t="s">
        <v>334</v>
      </c>
      <c r="G2" s="1" t="s">
        <v>386</v>
      </c>
      <c r="H2" s="1" t="s">
        <v>335</v>
      </c>
      <c r="I2" s="1" t="s">
        <v>334</v>
      </c>
      <c r="J2" s="1" t="s">
        <v>386</v>
      </c>
      <c r="K2" s="1" t="s">
        <v>335</v>
      </c>
      <c r="L2" s="1" t="s">
        <v>334</v>
      </c>
      <c r="M2" s="1" t="s">
        <v>386</v>
      </c>
      <c r="N2" s="1" t="s">
        <v>335</v>
      </c>
      <c r="O2" s="1" t="s">
        <v>334</v>
      </c>
      <c r="P2" s="1" t="s">
        <v>386</v>
      </c>
      <c r="Q2" s="1" t="s">
        <v>335</v>
      </c>
      <c r="R2" s="1" t="s">
        <v>334</v>
      </c>
      <c r="S2" s="1" t="s">
        <v>386</v>
      </c>
      <c r="T2" s="1" t="s">
        <v>335</v>
      </c>
      <c r="U2" s="1" t="s">
        <v>334</v>
      </c>
      <c r="V2" s="1" t="s">
        <v>386</v>
      </c>
      <c r="W2" s="1" t="s">
        <v>335</v>
      </c>
      <c r="X2" s="1" t="s">
        <v>334</v>
      </c>
      <c r="Y2" s="1" t="s">
        <v>386</v>
      </c>
      <c r="Z2" s="1" t="s">
        <v>335</v>
      </c>
      <c r="AA2" s="1" t="s">
        <v>334</v>
      </c>
      <c r="AB2" s="1" t="s">
        <v>386</v>
      </c>
      <c r="AC2" s="1" t="s">
        <v>335</v>
      </c>
      <c r="AD2" s="1" t="s">
        <v>334</v>
      </c>
      <c r="AE2" s="1" t="s">
        <v>386</v>
      </c>
      <c r="AF2" s="1" t="s">
        <v>335</v>
      </c>
      <c r="AG2" s="1" t="s">
        <v>334</v>
      </c>
      <c r="AH2" s="1" t="s">
        <v>386</v>
      </c>
      <c r="AI2" s="1" t="s">
        <v>335</v>
      </c>
      <c r="AJ2" s="1" t="s">
        <v>334</v>
      </c>
      <c r="AK2" s="1" t="s">
        <v>386</v>
      </c>
      <c r="AL2" s="1" t="s">
        <v>335</v>
      </c>
      <c r="AM2" s="1" t="s">
        <v>334</v>
      </c>
      <c r="AN2" s="1" t="s">
        <v>386</v>
      </c>
      <c r="AO2" s="1" t="s">
        <v>335</v>
      </c>
      <c r="AP2" s="1" t="s">
        <v>334</v>
      </c>
    </row>
    <row r="3" spans="1:42" ht="14.25" customHeigh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3</v>
      </c>
      <c r="AG3" s="1">
        <v>0</v>
      </c>
      <c r="AH3" s="1">
        <v>0</v>
      </c>
      <c r="AI3" s="1">
        <v>3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2" ht="13.5" customHeight="1" x14ac:dyDescent="0.3">
      <c r="A4" s="1">
        <v>10</v>
      </c>
      <c r="B4" s="1">
        <v>70</v>
      </c>
      <c r="C4" s="1">
        <v>0</v>
      </c>
      <c r="D4" s="1">
        <v>10</v>
      </c>
      <c r="E4" s="1">
        <v>0</v>
      </c>
      <c r="F4" s="1">
        <v>0</v>
      </c>
      <c r="G4" s="1">
        <v>10</v>
      </c>
      <c r="H4" s="1">
        <v>0</v>
      </c>
      <c r="I4" s="1">
        <v>0</v>
      </c>
      <c r="J4" s="1">
        <v>10</v>
      </c>
      <c r="K4" s="1">
        <v>0</v>
      </c>
      <c r="L4" s="1">
        <v>0</v>
      </c>
      <c r="M4" s="1">
        <v>10</v>
      </c>
      <c r="N4" s="1">
        <v>0</v>
      </c>
      <c r="O4" s="1">
        <v>0</v>
      </c>
      <c r="P4" s="1">
        <v>10</v>
      </c>
      <c r="Q4" s="1">
        <v>0</v>
      </c>
      <c r="R4" s="1">
        <v>0</v>
      </c>
      <c r="S4" s="1">
        <v>10</v>
      </c>
      <c r="T4" s="1">
        <v>0</v>
      </c>
      <c r="U4" s="1">
        <v>0</v>
      </c>
      <c r="V4" s="1">
        <v>10</v>
      </c>
      <c r="W4" s="1">
        <v>0</v>
      </c>
      <c r="X4" s="1">
        <v>0</v>
      </c>
      <c r="Y4" s="1">
        <v>10</v>
      </c>
      <c r="Z4" s="1">
        <v>0</v>
      </c>
      <c r="AA4" s="1">
        <v>0</v>
      </c>
      <c r="AB4" s="1">
        <v>10</v>
      </c>
      <c r="AC4" s="1">
        <v>0</v>
      </c>
      <c r="AD4" s="1">
        <v>0</v>
      </c>
      <c r="AE4" s="1">
        <v>10</v>
      </c>
      <c r="AF4" s="1">
        <v>3</v>
      </c>
      <c r="AG4" s="1">
        <v>0</v>
      </c>
      <c r="AH4" s="1">
        <v>10</v>
      </c>
      <c r="AI4" s="1">
        <v>3</v>
      </c>
      <c r="AJ4" s="1">
        <v>0</v>
      </c>
      <c r="AK4" s="1">
        <v>10</v>
      </c>
      <c r="AL4" s="1">
        <v>0</v>
      </c>
      <c r="AM4" s="1">
        <v>0</v>
      </c>
      <c r="AN4" s="1">
        <v>10</v>
      </c>
      <c r="AO4" s="1">
        <v>0</v>
      </c>
      <c r="AP4" s="1">
        <v>0</v>
      </c>
    </row>
    <row r="5" spans="1:42" ht="13.5" customHeight="1" x14ac:dyDescent="0.3">
      <c r="A5" s="1">
        <v>15</v>
      </c>
      <c r="B5" s="1">
        <v>65</v>
      </c>
      <c r="C5" s="1">
        <v>0</v>
      </c>
      <c r="D5" s="1">
        <v>15</v>
      </c>
      <c r="E5" s="1">
        <v>0</v>
      </c>
      <c r="F5" s="1">
        <v>0</v>
      </c>
      <c r="G5" s="1">
        <v>15</v>
      </c>
      <c r="H5" s="1">
        <v>0</v>
      </c>
      <c r="I5" s="1">
        <v>0</v>
      </c>
      <c r="J5" s="1">
        <v>15</v>
      </c>
      <c r="K5" s="1">
        <v>0</v>
      </c>
      <c r="L5" s="1">
        <v>0</v>
      </c>
      <c r="M5" s="1">
        <v>15</v>
      </c>
      <c r="N5" s="1">
        <v>0</v>
      </c>
      <c r="O5" s="1">
        <v>0</v>
      </c>
      <c r="P5" s="1">
        <v>15</v>
      </c>
      <c r="Q5" s="1">
        <v>0</v>
      </c>
      <c r="R5" s="1">
        <v>0</v>
      </c>
      <c r="S5" s="1">
        <v>15</v>
      </c>
      <c r="T5" s="1">
        <v>0</v>
      </c>
      <c r="U5" s="1">
        <v>0</v>
      </c>
      <c r="V5" s="1">
        <v>15</v>
      </c>
      <c r="W5" s="1">
        <v>0</v>
      </c>
      <c r="X5" s="1">
        <v>0</v>
      </c>
      <c r="Y5" s="1">
        <v>15</v>
      </c>
      <c r="Z5" s="1">
        <v>0</v>
      </c>
      <c r="AA5" s="1">
        <v>0</v>
      </c>
      <c r="AB5" s="1">
        <v>15</v>
      </c>
      <c r="AC5" s="1">
        <v>0</v>
      </c>
      <c r="AD5" s="1">
        <v>0</v>
      </c>
      <c r="AE5" s="1">
        <v>15</v>
      </c>
      <c r="AF5" s="1">
        <v>3</v>
      </c>
      <c r="AG5" s="1">
        <v>0</v>
      </c>
      <c r="AH5" s="1">
        <v>15</v>
      </c>
      <c r="AI5" s="1">
        <v>3</v>
      </c>
      <c r="AJ5" s="1">
        <v>0</v>
      </c>
      <c r="AK5" s="1">
        <v>15</v>
      </c>
      <c r="AL5" s="1">
        <v>0</v>
      </c>
      <c r="AM5" s="1">
        <v>0</v>
      </c>
      <c r="AN5" s="1">
        <v>15</v>
      </c>
      <c r="AO5" s="1">
        <v>0</v>
      </c>
      <c r="AP5" s="1">
        <v>0</v>
      </c>
    </row>
    <row r="6" spans="1:42" ht="13.5" customHeight="1" x14ac:dyDescent="0.3">
      <c r="A6" s="1">
        <v>20</v>
      </c>
      <c r="B6" s="1">
        <v>60</v>
      </c>
      <c r="C6" s="1">
        <v>0</v>
      </c>
      <c r="D6" s="1">
        <v>20</v>
      </c>
      <c r="E6" s="1">
        <v>0</v>
      </c>
      <c r="F6" s="1">
        <v>0</v>
      </c>
      <c r="G6" s="1">
        <v>20</v>
      </c>
      <c r="H6" s="1">
        <v>0</v>
      </c>
      <c r="I6" s="1">
        <v>0</v>
      </c>
      <c r="J6" s="1">
        <v>20</v>
      </c>
      <c r="K6" s="1">
        <v>0</v>
      </c>
      <c r="L6" s="1">
        <v>0</v>
      </c>
      <c r="M6" s="1">
        <v>20</v>
      </c>
      <c r="N6" s="1">
        <v>0</v>
      </c>
      <c r="O6" s="1">
        <v>0</v>
      </c>
      <c r="P6" s="1">
        <v>20</v>
      </c>
      <c r="Q6" s="1">
        <v>0</v>
      </c>
      <c r="R6" s="1">
        <v>0</v>
      </c>
      <c r="S6" s="1">
        <v>20</v>
      </c>
      <c r="T6" s="1">
        <v>0</v>
      </c>
      <c r="U6" s="1">
        <v>0</v>
      </c>
      <c r="V6" s="1">
        <v>20</v>
      </c>
      <c r="W6" s="1">
        <v>0</v>
      </c>
      <c r="X6" s="1">
        <v>0</v>
      </c>
      <c r="Y6" s="1">
        <v>20</v>
      </c>
      <c r="Z6" s="1">
        <v>0</v>
      </c>
      <c r="AA6" s="1">
        <v>0</v>
      </c>
      <c r="AB6" s="1">
        <v>20</v>
      </c>
      <c r="AC6" s="1">
        <v>0</v>
      </c>
      <c r="AD6" s="1">
        <v>0</v>
      </c>
      <c r="AE6" s="1">
        <v>20</v>
      </c>
      <c r="AF6" s="1">
        <v>3</v>
      </c>
      <c r="AG6" s="1">
        <v>0</v>
      </c>
      <c r="AH6" s="1">
        <v>20</v>
      </c>
      <c r="AI6" s="1">
        <v>3</v>
      </c>
      <c r="AJ6" s="1">
        <v>0</v>
      </c>
      <c r="AK6" s="1">
        <v>20</v>
      </c>
      <c r="AL6" s="1">
        <v>0</v>
      </c>
      <c r="AM6" s="1">
        <v>0</v>
      </c>
      <c r="AN6" s="1">
        <v>20</v>
      </c>
      <c r="AO6" s="1">
        <v>0</v>
      </c>
      <c r="AP6" s="1">
        <v>0</v>
      </c>
    </row>
    <row r="7" spans="1:42" ht="13.5" customHeight="1" x14ac:dyDescent="0.3">
      <c r="A7" s="1">
        <v>25</v>
      </c>
      <c r="B7" s="1">
        <v>55</v>
      </c>
      <c r="C7" s="1">
        <v>0</v>
      </c>
      <c r="D7" s="1">
        <v>25</v>
      </c>
      <c r="E7" s="1">
        <v>0</v>
      </c>
      <c r="F7" s="1">
        <v>0</v>
      </c>
      <c r="G7" s="1">
        <v>25</v>
      </c>
      <c r="H7" s="1">
        <v>0</v>
      </c>
      <c r="I7" s="1">
        <v>0</v>
      </c>
      <c r="J7" s="1">
        <v>25</v>
      </c>
      <c r="K7" s="1">
        <v>0</v>
      </c>
      <c r="L7" s="1">
        <v>0</v>
      </c>
      <c r="M7" s="1">
        <v>25</v>
      </c>
      <c r="N7" s="1">
        <v>0</v>
      </c>
      <c r="O7" s="1">
        <v>0</v>
      </c>
      <c r="P7" s="1">
        <v>25</v>
      </c>
      <c r="Q7" s="1">
        <v>0</v>
      </c>
      <c r="R7" s="1">
        <v>0</v>
      </c>
      <c r="S7" s="1">
        <v>25</v>
      </c>
      <c r="T7" s="1">
        <v>0</v>
      </c>
      <c r="U7" s="1">
        <v>0</v>
      </c>
      <c r="V7" s="1">
        <v>25</v>
      </c>
      <c r="W7" s="1">
        <v>0</v>
      </c>
      <c r="X7" s="1">
        <v>0</v>
      </c>
      <c r="Y7" s="1">
        <v>25</v>
      </c>
      <c r="Z7" s="1">
        <v>0</v>
      </c>
      <c r="AA7" s="1">
        <v>0</v>
      </c>
      <c r="AB7" s="1">
        <v>25</v>
      </c>
      <c r="AC7" s="1">
        <v>0</v>
      </c>
      <c r="AD7" s="1">
        <v>0</v>
      </c>
      <c r="AE7" s="1">
        <v>25</v>
      </c>
      <c r="AF7" s="1">
        <v>3</v>
      </c>
      <c r="AG7" s="1">
        <v>0</v>
      </c>
      <c r="AH7" s="1">
        <v>25</v>
      </c>
      <c r="AI7" s="1">
        <v>3</v>
      </c>
      <c r="AJ7" s="1">
        <v>0</v>
      </c>
      <c r="AK7" s="1">
        <v>25</v>
      </c>
      <c r="AL7" s="1">
        <v>0</v>
      </c>
      <c r="AM7" s="1">
        <v>0</v>
      </c>
      <c r="AN7" s="1">
        <v>25</v>
      </c>
      <c r="AO7" s="1">
        <v>0</v>
      </c>
      <c r="AP7" s="1">
        <v>0</v>
      </c>
    </row>
    <row r="8" spans="1:42" ht="13.5" customHeight="1" x14ac:dyDescent="0.3">
      <c r="A8" s="1">
        <v>30</v>
      </c>
      <c r="B8" s="1">
        <v>50</v>
      </c>
      <c r="C8" s="1">
        <v>0</v>
      </c>
      <c r="D8" s="1">
        <v>30</v>
      </c>
      <c r="E8" s="1">
        <v>0</v>
      </c>
      <c r="F8" s="1">
        <v>0</v>
      </c>
      <c r="G8" s="1">
        <v>30</v>
      </c>
      <c r="H8" s="1">
        <v>0</v>
      </c>
      <c r="I8" s="1">
        <v>0</v>
      </c>
      <c r="J8" s="1">
        <v>30</v>
      </c>
      <c r="K8" s="1">
        <v>0</v>
      </c>
      <c r="L8" s="1">
        <v>0</v>
      </c>
      <c r="M8" s="1">
        <v>30</v>
      </c>
      <c r="N8" s="1">
        <v>0</v>
      </c>
      <c r="O8" s="1">
        <v>0</v>
      </c>
      <c r="P8" s="1">
        <v>30</v>
      </c>
      <c r="Q8" s="1">
        <v>0</v>
      </c>
      <c r="R8" s="1">
        <v>0</v>
      </c>
      <c r="S8" s="1">
        <v>30</v>
      </c>
      <c r="T8" s="1">
        <v>0</v>
      </c>
      <c r="U8" s="1">
        <v>0</v>
      </c>
      <c r="V8" s="1">
        <v>30</v>
      </c>
      <c r="W8" s="1">
        <v>0</v>
      </c>
      <c r="X8" s="1">
        <v>0</v>
      </c>
      <c r="Y8" s="1">
        <v>30</v>
      </c>
      <c r="Z8" s="1">
        <v>0</v>
      </c>
      <c r="AA8" s="1">
        <v>0</v>
      </c>
      <c r="AB8" s="1">
        <v>30</v>
      </c>
      <c r="AC8" s="1">
        <v>0</v>
      </c>
      <c r="AD8" s="1">
        <v>0</v>
      </c>
      <c r="AE8" s="1">
        <v>30</v>
      </c>
      <c r="AF8" s="1">
        <v>3</v>
      </c>
      <c r="AG8" s="1">
        <v>0</v>
      </c>
      <c r="AH8" s="1">
        <v>30</v>
      </c>
      <c r="AI8" s="1">
        <v>3</v>
      </c>
      <c r="AJ8" s="1">
        <v>0</v>
      </c>
      <c r="AK8" s="1">
        <v>30</v>
      </c>
      <c r="AL8" s="1">
        <v>0</v>
      </c>
      <c r="AM8" s="1">
        <v>0</v>
      </c>
      <c r="AN8" s="1">
        <v>30</v>
      </c>
      <c r="AO8" s="1">
        <v>0</v>
      </c>
      <c r="AP8" s="1">
        <v>0</v>
      </c>
    </row>
    <row r="9" spans="1:42" ht="13.5" customHeight="1" x14ac:dyDescent="0.3">
      <c r="A9" s="1">
        <v>50</v>
      </c>
      <c r="B9" s="1">
        <v>45</v>
      </c>
      <c r="C9" s="1">
        <v>0</v>
      </c>
      <c r="D9" s="1">
        <v>50</v>
      </c>
      <c r="E9" s="1">
        <v>0</v>
      </c>
      <c r="F9" s="1">
        <v>0</v>
      </c>
      <c r="G9" s="1">
        <v>50</v>
      </c>
      <c r="H9" s="1">
        <v>0</v>
      </c>
      <c r="I9" s="1">
        <v>0</v>
      </c>
      <c r="J9" s="1">
        <v>50</v>
      </c>
      <c r="K9" s="1">
        <v>0</v>
      </c>
      <c r="L9" s="1">
        <v>0</v>
      </c>
      <c r="M9" s="1">
        <v>50</v>
      </c>
      <c r="N9" s="1">
        <v>0</v>
      </c>
      <c r="O9" s="1">
        <v>0</v>
      </c>
      <c r="P9" s="1">
        <v>50</v>
      </c>
      <c r="Q9" s="1">
        <v>0</v>
      </c>
      <c r="R9" s="1">
        <v>0</v>
      </c>
      <c r="S9" s="1">
        <v>50</v>
      </c>
      <c r="T9" s="1">
        <v>0</v>
      </c>
      <c r="U9" s="1">
        <v>0</v>
      </c>
      <c r="V9" s="1">
        <v>50</v>
      </c>
      <c r="W9" s="1">
        <v>0</v>
      </c>
      <c r="X9" s="1">
        <v>0</v>
      </c>
      <c r="Y9" s="1">
        <v>50</v>
      </c>
      <c r="Z9" s="1">
        <v>0</v>
      </c>
      <c r="AA9" s="1">
        <v>0</v>
      </c>
      <c r="AB9" s="1">
        <v>50</v>
      </c>
      <c r="AC9" s="1">
        <v>0</v>
      </c>
      <c r="AD9" s="1">
        <v>0</v>
      </c>
      <c r="AE9" s="1">
        <v>50</v>
      </c>
      <c r="AF9" s="1">
        <v>3</v>
      </c>
      <c r="AG9" s="1">
        <v>0</v>
      </c>
      <c r="AH9" s="1">
        <v>50</v>
      </c>
      <c r="AI9" s="1">
        <v>3</v>
      </c>
      <c r="AJ9" s="1">
        <v>0</v>
      </c>
      <c r="AK9" s="1">
        <v>50</v>
      </c>
      <c r="AL9" s="1">
        <v>0</v>
      </c>
      <c r="AM9" s="1">
        <v>0</v>
      </c>
      <c r="AN9" s="1">
        <v>50</v>
      </c>
      <c r="AO9" s="1">
        <v>0</v>
      </c>
      <c r="AP9" s="1">
        <v>0</v>
      </c>
    </row>
    <row r="10" spans="1:42" ht="13.5" customHeight="1" x14ac:dyDescent="0.3">
      <c r="A10" s="1">
        <v>70</v>
      </c>
      <c r="B10" s="1">
        <v>40</v>
      </c>
      <c r="C10" s="1">
        <v>0</v>
      </c>
      <c r="D10" s="1">
        <v>70</v>
      </c>
      <c r="E10" s="1">
        <v>0</v>
      </c>
      <c r="F10" s="1">
        <v>0</v>
      </c>
      <c r="G10" s="1">
        <v>70</v>
      </c>
      <c r="H10" s="1">
        <v>0</v>
      </c>
      <c r="I10" s="1">
        <v>0</v>
      </c>
      <c r="J10" s="1">
        <v>70</v>
      </c>
      <c r="K10" s="1">
        <v>0</v>
      </c>
      <c r="L10" s="1">
        <v>0</v>
      </c>
      <c r="M10" s="1">
        <v>70</v>
      </c>
      <c r="N10" s="1">
        <v>0</v>
      </c>
      <c r="O10" s="1">
        <v>0</v>
      </c>
      <c r="P10" s="1">
        <v>70</v>
      </c>
      <c r="Q10" s="1">
        <v>0</v>
      </c>
      <c r="R10" s="1">
        <v>0</v>
      </c>
      <c r="S10" s="1">
        <v>70</v>
      </c>
      <c r="T10" s="1">
        <v>0</v>
      </c>
      <c r="U10" s="1">
        <v>0</v>
      </c>
      <c r="V10" s="1">
        <v>70</v>
      </c>
      <c r="W10" s="1">
        <v>0</v>
      </c>
      <c r="X10" s="1">
        <v>0</v>
      </c>
      <c r="Y10" s="1">
        <v>70</v>
      </c>
      <c r="Z10" s="1">
        <v>0</v>
      </c>
      <c r="AA10" s="1">
        <v>0</v>
      </c>
      <c r="AB10" s="1">
        <v>70</v>
      </c>
      <c r="AC10" s="1">
        <v>0</v>
      </c>
      <c r="AD10" s="1">
        <v>0</v>
      </c>
      <c r="AE10" s="1">
        <v>70</v>
      </c>
      <c r="AF10" s="1">
        <v>3</v>
      </c>
      <c r="AG10" s="1">
        <v>0</v>
      </c>
      <c r="AH10" s="1">
        <v>70</v>
      </c>
      <c r="AI10" s="1">
        <v>3</v>
      </c>
      <c r="AJ10" s="1">
        <v>0</v>
      </c>
      <c r="AK10" s="1">
        <v>70</v>
      </c>
      <c r="AL10" s="1">
        <v>0</v>
      </c>
      <c r="AM10" s="1">
        <v>0</v>
      </c>
      <c r="AN10" s="1">
        <v>70</v>
      </c>
      <c r="AO10" s="1">
        <v>0</v>
      </c>
      <c r="AP10" s="1">
        <v>0</v>
      </c>
    </row>
    <row r="11" spans="1:42" ht="14.25" customHeight="1" x14ac:dyDescent="0.3">
      <c r="A11" s="1">
        <v>100</v>
      </c>
      <c r="B11" s="1">
        <v>35</v>
      </c>
      <c r="C11" s="1">
        <v>0</v>
      </c>
      <c r="D11" s="1">
        <v>100</v>
      </c>
      <c r="E11" s="1">
        <v>0</v>
      </c>
      <c r="F11" s="1">
        <v>0</v>
      </c>
      <c r="G11" s="1">
        <v>100</v>
      </c>
      <c r="H11" s="1">
        <v>0</v>
      </c>
      <c r="I11" s="1">
        <v>0</v>
      </c>
      <c r="J11" s="1">
        <v>100</v>
      </c>
      <c r="K11" s="1">
        <v>0</v>
      </c>
      <c r="L11" s="1">
        <v>0</v>
      </c>
      <c r="M11" s="1">
        <v>100</v>
      </c>
      <c r="N11" s="1">
        <v>0</v>
      </c>
      <c r="O11" s="1">
        <v>0</v>
      </c>
      <c r="P11" s="1">
        <v>100</v>
      </c>
      <c r="Q11" s="1">
        <v>0</v>
      </c>
      <c r="R11" s="1">
        <v>0</v>
      </c>
      <c r="S11" s="1">
        <v>100</v>
      </c>
      <c r="T11" s="1">
        <v>0</v>
      </c>
      <c r="U11" s="1">
        <v>0</v>
      </c>
      <c r="V11" s="1">
        <v>100</v>
      </c>
      <c r="W11" s="1">
        <v>0</v>
      </c>
      <c r="X11" s="1">
        <v>0</v>
      </c>
      <c r="Y11" s="1">
        <v>100</v>
      </c>
      <c r="Z11" s="1">
        <v>0</v>
      </c>
      <c r="AA11" s="1">
        <v>0</v>
      </c>
      <c r="AB11" s="1">
        <v>100</v>
      </c>
      <c r="AC11" s="1">
        <v>0</v>
      </c>
      <c r="AD11" s="1">
        <v>0</v>
      </c>
      <c r="AE11" s="1">
        <v>100</v>
      </c>
      <c r="AF11" s="1">
        <v>3</v>
      </c>
      <c r="AG11" s="1">
        <v>0</v>
      </c>
      <c r="AH11" s="1">
        <v>100</v>
      </c>
      <c r="AI11" s="1">
        <v>3</v>
      </c>
      <c r="AJ11" s="1">
        <v>0</v>
      </c>
      <c r="AK11" s="1">
        <v>100</v>
      </c>
      <c r="AL11" s="1">
        <v>0</v>
      </c>
      <c r="AM11" s="1">
        <v>0</v>
      </c>
      <c r="AN11" s="1">
        <v>100</v>
      </c>
      <c r="AO11" s="1">
        <v>0</v>
      </c>
      <c r="AP11" s="1">
        <v>0</v>
      </c>
    </row>
    <row r="12" spans="1:42" ht="14.25" customHeight="1" x14ac:dyDescent="0.3">
      <c r="A12" s="1">
        <v>150</v>
      </c>
      <c r="B12" s="1">
        <v>35</v>
      </c>
      <c r="C12" s="1">
        <v>0</v>
      </c>
      <c r="D12" s="1">
        <v>150</v>
      </c>
      <c r="E12" s="1">
        <v>0</v>
      </c>
      <c r="F12" s="1">
        <v>0</v>
      </c>
      <c r="G12" s="1">
        <v>150</v>
      </c>
      <c r="H12" s="1">
        <v>0</v>
      </c>
      <c r="I12" s="1">
        <v>0</v>
      </c>
      <c r="J12" s="1">
        <v>150</v>
      </c>
      <c r="K12" s="1">
        <v>0</v>
      </c>
      <c r="L12" s="1">
        <v>0</v>
      </c>
      <c r="M12" s="1">
        <v>150</v>
      </c>
      <c r="N12" s="1">
        <v>0</v>
      </c>
      <c r="O12" s="1">
        <v>0</v>
      </c>
      <c r="P12" s="1">
        <v>150</v>
      </c>
      <c r="Q12" s="1">
        <v>0</v>
      </c>
      <c r="R12" s="1">
        <v>0</v>
      </c>
      <c r="S12" s="1">
        <v>150</v>
      </c>
      <c r="T12" s="1">
        <v>0</v>
      </c>
      <c r="U12" s="1">
        <v>0</v>
      </c>
      <c r="V12" s="1">
        <v>150</v>
      </c>
      <c r="W12" s="1">
        <v>0</v>
      </c>
      <c r="X12" s="1">
        <v>0</v>
      </c>
      <c r="Y12" s="1">
        <v>150</v>
      </c>
      <c r="Z12" s="1">
        <v>0</v>
      </c>
      <c r="AA12" s="1">
        <v>0</v>
      </c>
      <c r="AB12" s="1">
        <v>150</v>
      </c>
      <c r="AC12" s="1">
        <v>0</v>
      </c>
      <c r="AD12" s="1">
        <v>0</v>
      </c>
      <c r="AE12" s="1">
        <v>150</v>
      </c>
      <c r="AF12" s="1">
        <v>3</v>
      </c>
      <c r="AG12" s="1">
        <v>0</v>
      </c>
      <c r="AH12" s="1">
        <v>150</v>
      </c>
      <c r="AI12" s="1">
        <v>3</v>
      </c>
      <c r="AJ12" s="1">
        <v>0</v>
      </c>
      <c r="AK12" s="1">
        <v>150</v>
      </c>
      <c r="AL12" s="1">
        <v>0</v>
      </c>
      <c r="AM12" s="1">
        <v>0</v>
      </c>
      <c r="AN12" s="1">
        <v>150</v>
      </c>
      <c r="AO12" s="1">
        <v>0</v>
      </c>
      <c r="AP12" s="1">
        <v>0</v>
      </c>
    </row>
    <row r="13" spans="1:42" ht="14.25" customHeight="1" x14ac:dyDescent="0.3">
      <c r="A13" s="1">
        <v>200</v>
      </c>
      <c r="B13" s="1">
        <v>30</v>
      </c>
      <c r="C13" s="1">
        <v>0</v>
      </c>
      <c r="D13" s="1">
        <v>200</v>
      </c>
      <c r="E13" s="1">
        <v>0</v>
      </c>
      <c r="F13" s="1">
        <v>0</v>
      </c>
      <c r="G13" s="1">
        <v>200</v>
      </c>
      <c r="H13" s="1">
        <v>0</v>
      </c>
      <c r="I13" s="1">
        <v>0</v>
      </c>
      <c r="J13" s="1">
        <v>200</v>
      </c>
      <c r="K13" s="1">
        <v>0</v>
      </c>
      <c r="L13" s="1">
        <v>0</v>
      </c>
      <c r="M13" s="1">
        <v>200</v>
      </c>
      <c r="N13" s="1">
        <v>0</v>
      </c>
      <c r="O13" s="1">
        <v>0</v>
      </c>
      <c r="P13" s="1">
        <v>200</v>
      </c>
      <c r="Q13" s="1">
        <v>0</v>
      </c>
      <c r="R13" s="1">
        <v>0</v>
      </c>
      <c r="S13" s="1">
        <v>200</v>
      </c>
      <c r="T13" s="1">
        <v>0</v>
      </c>
      <c r="U13" s="1">
        <v>0</v>
      </c>
      <c r="V13" s="1">
        <v>200</v>
      </c>
      <c r="W13" s="1">
        <v>0</v>
      </c>
      <c r="X13" s="1">
        <v>0</v>
      </c>
      <c r="Y13" s="1">
        <v>200</v>
      </c>
      <c r="Z13" s="1">
        <v>0</v>
      </c>
      <c r="AA13" s="1">
        <v>0</v>
      </c>
      <c r="AB13" s="1">
        <v>200</v>
      </c>
      <c r="AC13" s="1">
        <v>0</v>
      </c>
      <c r="AD13" s="1">
        <v>0</v>
      </c>
      <c r="AE13" s="1">
        <v>200</v>
      </c>
      <c r="AF13" s="1">
        <v>3</v>
      </c>
      <c r="AG13" s="1">
        <v>0</v>
      </c>
      <c r="AH13" s="1">
        <v>200</v>
      </c>
      <c r="AI13" s="1">
        <v>3</v>
      </c>
      <c r="AJ13" s="1">
        <v>0</v>
      </c>
      <c r="AK13" s="1">
        <v>200</v>
      </c>
      <c r="AL13" s="1">
        <v>0</v>
      </c>
      <c r="AM13" s="1">
        <v>0</v>
      </c>
      <c r="AN13" s="1">
        <v>200</v>
      </c>
      <c r="AO13" s="1">
        <v>0</v>
      </c>
      <c r="AP13" s="1">
        <v>0</v>
      </c>
    </row>
    <row r="14" spans="1:42" ht="14.25" customHeight="1" x14ac:dyDescent="0.3">
      <c r="A14" s="1">
        <v>250</v>
      </c>
      <c r="B14" s="1">
        <v>25</v>
      </c>
      <c r="C14" s="1">
        <v>0</v>
      </c>
      <c r="D14" s="1">
        <v>300</v>
      </c>
      <c r="E14" s="1">
        <v>0</v>
      </c>
      <c r="F14" s="1">
        <v>0</v>
      </c>
      <c r="G14" s="1">
        <v>300</v>
      </c>
      <c r="H14" s="1">
        <v>0</v>
      </c>
      <c r="I14" s="1">
        <v>0</v>
      </c>
      <c r="J14" s="1">
        <v>300</v>
      </c>
      <c r="K14" s="1">
        <v>0</v>
      </c>
      <c r="L14" s="1">
        <v>0</v>
      </c>
      <c r="M14" s="1">
        <v>300</v>
      </c>
      <c r="N14" s="1">
        <v>0</v>
      </c>
      <c r="O14" s="1">
        <v>0</v>
      </c>
      <c r="P14" s="1">
        <v>300</v>
      </c>
      <c r="Q14" s="1">
        <v>0</v>
      </c>
      <c r="R14" s="1">
        <v>0</v>
      </c>
      <c r="S14" s="1">
        <v>300</v>
      </c>
      <c r="T14" s="1">
        <v>0</v>
      </c>
      <c r="U14" s="1">
        <v>0</v>
      </c>
      <c r="V14" s="1">
        <v>300</v>
      </c>
      <c r="W14" s="1">
        <v>0</v>
      </c>
      <c r="X14" s="1">
        <v>0</v>
      </c>
      <c r="Y14" s="1">
        <v>300</v>
      </c>
      <c r="Z14" s="1">
        <v>0</v>
      </c>
      <c r="AA14" s="1">
        <v>0</v>
      </c>
      <c r="AB14" s="1">
        <v>300</v>
      </c>
      <c r="AC14" s="1">
        <v>0</v>
      </c>
      <c r="AD14" s="1">
        <v>0</v>
      </c>
      <c r="AE14" s="1">
        <v>300</v>
      </c>
      <c r="AF14" s="1">
        <v>3</v>
      </c>
      <c r="AG14" s="1">
        <v>0</v>
      </c>
      <c r="AH14" s="1">
        <v>300</v>
      </c>
      <c r="AI14" s="1">
        <v>3</v>
      </c>
      <c r="AJ14" s="1">
        <v>0</v>
      </c>
      <c r="AK14" s="1">
        <v>300</v>
      </c>
      <c r="AL14" s="1">
        <v>0</v>
      </c>
      <c r="AM14" s="1">
        <v>0</v>
      </c>
      <c r="AN14" s="1">
        <v>300</v>
      </c>
      <c r="AO14" s="1">
        <v>0</v>
      </c>
      <c r="AP14" s="1">
        <v>0</v>
      </c>
    </row>
    <row r="15" spans="1:42" ht="14.25" customHeight="1" x14ac:dyDescent="0.3">
      <c r="A15" s="1">
        <v>300</v>
      </c>
      <c r="B15" s="1">
        <v>20</v>
      </c>
      <c r="C15" s="1">
        <v>0</v>
      </c>
      <c r="D15" s="1">
        <v>500</v>
      </c>
      <c r="E15" s="1">
        <v>0</v>
      </c>
      <c r="F15" s="1">
        <v>0</v>
      </c>
      <c r="G15" s="1">
        <v>500</v>
      </c>
      <c r="H15" s="1">
        <v>0</v>
      </c>
      <c r="I15" s="1">
        <v>0</v>
      </c>
      <c r="J15" s="1">
        <v>500</v>
      </c>
      <c r="K15" s="1">
        <v>0</v>
      </c>
      <c r="L15" s="1">
        <v>0</v>
      </c>
      <c r="M15" s="1">
        <v>500</v>
      </c>
      <c r="N15" s="1">
        <v>0</v>
      </c>
      <c r="O15" s="1">
        <v>0</v>
      </c>
      <c r="P15" s="1">
        <v>500</v>
      </c>
      <c r="Q15" s="1">
        <v>0</v>
      </c>
      <c r="R15" s="1">
        <v>0</v>
      </c>
      <c r="S15" s="1">
        <v>500</v>
      </c>
      <c r="T15" s="1">
        <v>0</v>
      </c>
      <c r="U15" s="1">
        <v>0</v>
      </c>
      <c r="V15" s="1">
        <v>500</v>
      </c>
      <c r="W15" s="1">
        <v>0</v>
      </c>
      <c r="X15" s="1">
        <v>0</v>
      </c>
      <c r="Y15" s="1">
        <v>500</v>
      </c>
      <c r="Z15" s="1">
        <v>0</v>
      </c>
      <c r="AA15" s="1">
        <v>0</v>
      </c>
      <c r="AB15" s="1">
        <v>500</v>
      </c>
      <c r="AC15" s="1">
        <v>0</v>
      </c>
      <c r="AD15" s="1">
        <v>0</v>
      </c>
      <c r="AE15" s="1">
        <v>500</v>
      </c>
      <c r="AF15" s="1">
        <v>3</v>
      </c>
      <c r="AG15" s="1">
        <v>0</v>
      </c>
      <c r="AH15" s="1">
        <v>500</v>
      </c>
      <c r="AI15" s="1">
        <v>3</v>
      </c>
      <c r="AJ15" s="1">
        <v>0</v>
      </c>
      <c r="AK15" s="1">
        <v>500</v>
      </c>
      <c r="AL15" s="1">
        <v>0</v>
      </c>
      <c r="AM15" s="1">
        <v>0</v>
      </c>
      <c r="AN15" s="1">
        <v>500</v>
      </c>
      <c r="AO15" s="1">
        <v>0</v>
      </c>
      <c r="AP15" s="1">
        <v>0</v>
      </c>
    </row>
    <row r="16" spans="1:42" ht="14.25" customHeight="1" x14ac:dyDescent="0.3">
      <c r="A16" s="1">
        <v>350</v>
      </c>
      <c r="B16" s="1">
        <v>15</v>
      </c>
      <c r="C16" s="1">
        <v>0</v>
      </c>
      <c r="D16" s="1">
        <v>800</v>
      </c>
      <c r="E16" s="1">
        <v>0</v>
      </c>
      <c r="F16" s="1">
        <v>0</v>
      </c>
      <c r="G16" s="1">
        <v>800</v>
      </c>
      <c r="H16" s="1">
        <v>0</v>
      </c>
      <c r="I16" s="1">
        <v>0</v>
      </c>
      <c r="J16" s="1">
        <v>800</v>
      </c>
      <c r="K16" s="1">
        <v>0</v>
      </c>
      <c r="L16" s="1">
        <v>0</v>
      </c>
      <c r="M16" s="1">
        <v>800</v>
      </c>
      <c r="N16" s="1">
        <v>0</v>
      </c>
      <c r="O16" s="1">
        <v>0</v>
      </c>
      <c r="P16" s="1">
        <v>800</v>
      </c>
      <c r="Q16" s="1">
        <v>0</v>
      </c>
      <c r="R16" s="1">
        <v>0</v>
      </c>
      <c r="S16" s="1">
        <v>800</v>
      </c>
      <c r="T16" s="1">
        <v>0</v>
      </c>
      <c r="U16" s="1">
        <v>0</v>
      </c>
      <c r="V16" s="1">
        <v>800</v>
      </c>
      <c r="W16" s="1">
        <v>0</v>
      </c>
      <c r="X16" s="1">
        <v>0</v>
      </c>
      <c r="Y16" s="1">
        <v>800</v>
      </c>
      <c r="Z16" s="1">
        <v>0</v>
      </c>
      <c r="AA16" s="1">
        <v>0</v>
      </c>
      <c r="AB16" s="1">
        <v>800</v>
      </c>
      <c r="AC16" s="1">
        <v>0</v>
      </c>
      <c r="AD16" s="1">
        <v>0</v>
      </c>
      <c r="AE16" s="1">
        <v>800</v>
      </c>
      <c r="AF16" s="1">
        <v>3</v>
      </c>
      <c r="AG16" s="1">
        <v>0</v>
      </c>
      <c r="AH16" s="1">
        <v>800</v>
      </c>
      <c r="AI16" s="1">
        <v>3</v>
      </c>
      <c r="AJ16" s="1">
        <v>0</v>
      </c>
      <c r="AK16" s="1">
        <v>800</v>
      </c>
      <c r="AL16" s="1">
        <v>0</v>
      </c>
      <c r="AM16" s="1">
        <v>0</v>
      </c>
      <c r="AN16" s="1">
        <v>800</v>
      </c>
      <c r="AO16" s="1">
        <v>0</v>
      </c>
      <c r="AP16" s="1">
        <v>0</v>
      </c>
    </row>
    <row r="17" spans="1:42" ht="14.25" customHeight="1" x14ac:dyDescent="0.3">
      <c r="A17" s="1">
        <v>400</v>
      </c>
      <c r="B17" s="1">
        <v>10</v>
      </c>
      <c r="C17" s="1">
        <v>0</v>
      </c>
      <c r="D17" s="1">
        <v>1200</v>
      </c>
      <c r="E17" s="1">
        <v>0</v>
      </c>
      <c r="F17" s="1">
        <v>0</v>
      </c>
      <c r="G17" s="1">
        <v>1200</v>
      </c>
      <c r="H17" s="1">
        <v>0</v>
      </c>
      <c r="I17" s="1">
        <v>0</v>
      </c>
      <c r="J17" s="1">
        <v>1200</v>
      </c>
      <c r="K17" s="1">
        <v>0</v>
      </c>
      <c r="L17" s="1">
        <v>0</v>
      </c>
      <c r="M17" s="1">
        <v>1200</v>
      </c>
      <c r="N17" s="1">
        <v>0</v>
      </c>
      <c r="O17" s="1">
        <v>0</v>
      </c>
      <c r="P17" s="1">
        <v>1200</v>
      </c>
      <c r="Q17" s="1">
        <v>0</v>
      </c>
      <c r="R17" s="1">
        <v>0</v>
      </c>
      <c r="S17" s="1">
        <v>1200</v>
      </c>
      <c r="T17" s="1">
        <v>0</v>
      </c>
      <c r="U17" s="1">
        <v>0</v>
      </c>
      <c r="V17" s="1">
        <v>1200</v>
      </c>
      <c r="W17" s="1">
        <v>0</v>
      </c>
      <c r="X17" s="1">
        <v>0</v>
      </c>
      <c r="Y17" s="1">
        <v>1200</v>
      </c>
      <c r="Z17" s="1">
        <v>0</v>
      </c>
      <c r="AA17" s="1">
        <v>0</v>
      </c>
      <c r="AB17" s="1">
        <v>1200</v>
      </c>
      <c r="AC17" s="1">
        <v>0</v>
      </c>
      <c r="AD17" s="1">
        <v>0</v>
      </c>
      <c r="AE17" s="1">
        <v>1200</v>
      </c>
      <c r="AF17" s="1">
        <v>3</v>
      </c>
      <c r="AG17" s="1">
        <v>0</v>
      </c>
      <c r="AH17" s="1">
        <v>1200</v>
      </c>
      <c r="AI17" s="1">
        <v>3</v>
      </c>
      <c r="AJ17" s="1">
        <v>0</v>
      </c>
      <c r="AK17" s="1">
        <v>1200</v>
      </c>
      <c r="AL17" s="1">
        <v>0</v>
      </c>
      <c r="AM17" s="1">
        <v>0</v>
      </c>
      <c r="AN17" s="1">
        <v>1200</v>
      </c>
      <c r="AO17" s="1">
        <v>0</v>
      </c>
      <c r="AP17" s="1">
        <v>0</v>
      </c>
    </row>
    <row r="18" spans="1:42" ht="14.25" customHeight="1" x14ac:dyDescent="0.3">
      <c r="A18" s="1">
        <v>450</v>
      </c>
      <c r="B18" s="1">
        <v>0</v>
      </c>
      <c r="C18" s="1">
        <v>0</v>
      </c>
      <c r="D18" s="1">
        <v>5000</v>
      </c>
      <c r="E18" s="1">
        <v>0</v>
      </c>
      <c r="F18" s="1">
        <v>0</v>
      </c>
      <c r="G18" s="1">
        <v>5000</v>
      </c>
      <c r="H18" s="1">
        <v>0</v>
      </c>
      <c r="I18" s="1">
        <v>0</v>
      </c>
      <c r="J18" s="1">
        <v>5000</v>
      </c>
      <c r="K18" s="1">
        <v>0</v>
      </c>
      <c r="L18" s="1">
        <v>0</v>
      </c>
      <c r="M18" s="1">
        <v>5000</v>
      </c>
      <c r="N18" s="1">
        <v>0</v>
      </c>
      <c r="O18" s="1">
        <v>0</v>
      </c>
      <c r="P18" s="1">
        <v>5000</v>
      </c>
      <c r="Q18" s="1">
        <v>0</v>
      </c>
      <c r="R18" s="1">
        <v>0</v>
      </c>
      <c r="S18" s="1">
        <v>5000</v>
      </c>
      <c r="T18" s="1">
        <v>0</v>
      </c>
      <c r="U18" s="1">
        <v>0</v>
      </c>
      <c r="V18" s="1">
        <v>5000</v>
      </c>
      <c r="W18" s="1">
        <v>0</v>
      </c>
      <c r="X18" s="1">
        <v>0</v>
      </c>
      <c r="Y18" s="1">
        <v>5000</v>
      </c>
      <c r="Z18" s="1">
        <v>0</v>
      </c>
      <c r="AA18" s="1">
        <v>0</v>
      </c>
      <c r="AB18" s="1">
        <v>5000</v>
      </c>
      <c r="AC18" s="1">
        <v>0</v>
      </c>
      <c r="AD18" s="1">
        <v>0</v>
      </c>
      <c r="AE18" s="1">
        <v>5000</v>
      </c>
      <c r="AF18" s="1">
        <v>3</v>
      </c>
      <c r="AG18" s="1">
        <v>0</v>
      </c>
      <c r="AH18" s="1">
        <v>5000</v>
      </c>
      <c r="AI18" s="1">
        <v>3</v>
      </c>
      <c r="AJ18" s="1">
        <v>0</v>
      </c>
      <c r="AK18" s="1">
        <v>5000</v>
      </c>
      <c r="AL18" s="1">
        <v>0</v>
      </c>
      <c r="AM18" s="1">
        <v>0</v>
      </c>
      <c r="AN18" s="1">
        <v>5000</v>
      </c>
      <c r="AO18" s="1">
        <v>0</v>
      </c>
      <c r="AP18" s="1">
        <v>0</v>
      </c>
    </row>
    <row r="19" spans="1:42" ht="14.25" customHeight="1" x14ac:dyDescent="0.3">
      <c r="A19" s="1">
        <v>500</v>
      </c>
      <c r="B19" s="1">
        <v>0</v>
      </c>
      <c r="C19" s="1">
        <v>0</v>
      </c>
      <c r="D19" s="1">
        <v>10000</v>
      </c>
      <c r="E19" s="1">
        <v>0</v>
      </c>
      <c r="F19" s="1">
        <v>0</v>
      </c>
      <c r="G19" s="1">
        <v>10000</v>
      </c>
      <c r="H19" s="1">
        <v>0</v>
      </c>
      <c r="I19" s="1">
        <v>0</v>
      </c>
      <c r="J19" s="1">
        <v>10000</v>
      </c>
      <c r="K19" s="1">
        <v>0</v>
      </c>
      <c r="L19" s="1">
        <v>0</v>
      </c>
      <c r="M19" s="1">
        <v>10000</v>
      </c>
      <c r="N19" s="1">
        <v>0</v>
      </c>
      <c r="O19" s="1">
        <v>0</v>
      </c>
      <c r="P19" s="1">
        <v>10000</v>
      </c>
      <c r="Q19" s="1">
        <v>0</v>
      </c>
      <c r="R19" s="1">
        <v>0</v>
      </c>
      <c r="S19" s="1">
        <v>10000</v>
      </c>
      <c r="T19" s="1">
        <v>0</v>
      </c>
      <c r="U19" s="1">
        <v>0</v>
      </c>
      <c r="V19" s="1">
        <v>10000</v>
      </c>
      <c r="W19" s="1">
        <v>0</v>
      </c>
      <c r="X19" s="1">
        <v>0</v>
      </c>
      <c r="Y19" s="1">
        <v>10000</v>
      </c>
      <c r="Z19" s="1">
        <v>0</v>
      </c>
      <c r="AA19" s="1">
        <v>0</v>
      </c>
      <c r="AB19" s="1">
        <v>10000</v>
      </c>
      <c r="AC19" s="1">
        <v>0</v>
      </c>
      <c r="AD19" s="1">
        <v>0</v>
      </c>
      <c r="AE19" s="1">
        <v>10000</v>
      </c>
      <c r="AF19" s="1">
        <v>3</v>
      </c>
      <c r="AG19" s="1">
        <v>0</v>
      </c>
      <c r="AH19" s="1">
        <v>10000</v>
      </c>
      <c r="AI19" s="1">
        <v>3</v>
      </c>
      <c r="AJ19" s="1">
        <v>0</v>
      </c>
      <c r="AK19" s="1">
        <v>10000</v>
      </c>
      <c r="AL19" s="1">
        <v>0</v>
      </c>
      <c r="AM19" s="1">
        <v>0</v>
      </c>
      <c r="AN19" s="1">
        <v>10000</v>
      </c>
      <c r="AO19" s="1">
        <v>0</v>
      </c>
      <c r="AP19" s="1">
        <v>0</v>
      </c>
    </row>
    <row r="20" spans="1:42" ht="14.25" customHeight="1" x14ac:dyDescent="0.3">
      <c r="A20" s="1">
        <v>550</v>
      </c>
      <c r="B20" s="1">
        <v>0</v>
      </c>
      <c r="C20" s="1">
        <v>0</v>
      </c>
      <c r="D20" s="1">
        <v>10100</v>
      </c>
      <c r="E20" s="1">
        <v>0</v>
      </c>
      <c r="F20" s="1">
        <v>0</v>
      </c>
      <c r="G20" s="1">
        <v>10100</v>
      </c>
      <c r="H20" s="1">
        <v>0</v>
      </c>
      <c r="I20" s="1">
        <v>0</v>
      </c>
      <c r="J20" s="1">
        <v>10100</v>
      </c>
      <c r="K20" s="1">
        <v>0</v>
      </c>
      <c r="L20" s="1">
        <v>0</v>
      </c>
      <c r="M20" s="1">
        <v>10100</v>
      </c>
      <c r="N20" s="1">
        <v>0</v>
      </c>
      <c r="O20" s="1">
        <v>0</v>
      </c>
      <c r="P20" s="1">
        <v>10100</v>
      </c>
      <c r="Q20" s="1">
        <v>0</v>
      </c>
      <c r="R20" s="1">
        <v>0</v>
      </c>
      <c r="S20" s="1">
        <v>10100</v>
      </c>
      <c r="T20" s="1">
        <v>0</v>
      </c>
      <c r="U20" s="1">
        <v>0</v>
      </c>
      <c r="V20" s="1">
        <v>10100</v>
      </c>
      <c r="W20" s="1">
        <v>0</v>
      </c>
      <c r="X20" s="1">
        <v>0</v>
      </c>
      <c r="Y20" s="1">
        <v>10100</v>
      </c>
      <c r="Z20" s="1">
        <v>0</v>
      </c>
      <c r="AA20" s="1">
        <v>0</v>
      </c>
      <c r="AB20" s="1">
        <v>10100</v>
      </c>
      <c r="AC20" s="1">
        <v>0</v>
      </c>
      <c r="AD20" s="1">
        <v>0</v>
      </c>
      <c r="AE20" s="1">
        <v>10100</v>
      </c>
      <c r="AF20" s="1">
        <v>0</v>
      </c>
      <c r="AG20" s="1">
        <v>0</v>
      </c>
      <c r="AH20" s="1">
        <v>10100</v>
      </c>
      <c r="AI20" s="1">
        <v>0</v>
      </c>
      <c r="AJ20" s="1">
        <v>0</v>
      </c>
      <c r="AK20" s="1">
        <v>10100</v>
      </c>
      <c r="AL20" s="1">
        <v>0</v>
      </c>
      <c r="AM20" s="1">
        <v>0</v>
      </c>
      <c r="AN20" s="1">
        <v>10100</v>
      </c>
      <c r="AO20" s="1">
        <v>0</v>
      </c>
      <c r="AP20" s="1">
        <v>0</v>
      </c>
    </row>
    <row r="21" spans="1:42" ht="14.25" customHeight="1" x14ac:dyDescent="0.3">
      <c r="A21" s="1">
        <v>600</v>
      </c>
      <c r="B21" s="1">
        <v>0</v>
      </c>
      <c r="C21" s="1">
        <v>0</v>
      </c>
      <c r="D21" s="1">
        <v>10200</v>
      </c>
      <c r="E21" s="1">
        <v>0</v>
      </c>
      <c r="F21" s="1">
        <v>0</v>
      </c>
      <c r="G21" s="1">
        <v>10200</v>
      </c>
      <c r="H21" s="1">
        <v>0</v>
      </c>
      <c r="I21" s="1">
        <v>0</v>
      </c>
      <c r="J21" s="1">
        <v>10200</v>
      </c>
      <c r="K21" s="1">
        <v>0</v>
      </c>
      <c r="L21" s="1">
        <v>0</v>
      </c>
      <c r="M21" s="1">
        <v>10200</v>
      </c>
      <c r="N21" s="1">
        <v>0</v>
      </c>
      <c r="O21" s="1">
        <v>0</v>
      </c>
      <c r="P21" s="1">
        <v>10200</v>
      </c>
      <c r="Q21" s="1">
        <v>0</v>
      </c>
      <c r="R21" s="1">
        <v>0</v>
      </c>
      <c r="S21" s="1">
        <v>10200</v>
      </c>
      <c r="T21" s="1">
        <v>0</v>
      </c>
      <c r="U21" s="1">
        <v>0</v>
      </c>
      <c r="V21" s="1">
        <v>10200</v>
      </c>
      <c r="W21" s="1">
        <v>0</v>
      </c>
      <c r="X21" s="1">
        <v>0</v>
      </c>
      <c r="Y21" s="1">
        <v>10200</v>
      </c>
      <c r="Z21" s="1">
        <v>0</v>
      </c>
      <c r="AA21" s="1">
        <v>0</v>
      </c>
      <c r="AB21" s="1">
        <v>10200</v>
      </c>
      <c r="AC21" s="1">
        <v>0</v>
      </c>
      <c r="AD21" s="1">
        <v>0</v>
      </c>
      <c r="AE21" s="1">
        <v>10200</v>
      </c>
      <c r="AF21" s="1">
        <v>0</v>
      </c>
      <c r="AG21" s="1">
        <v>0</v>
      </c>
      <c r="AH21" s="1">
        <v>10200</v>
      </c>
      <c r="AI21" s="1">
        <v>0</v>
      </c>
      <c r="AJ21" s="1">
        <v>0</v>
      </c>
      <c r="AK21" s="1">
        <v>10200</v>
      </c>
      <c r="AL21" s="1">
        <v>0</v>
      </c>
      <c r="AM21" s="1">
        <v>0</v>
      </c>
      <c r="AN21" s="1">
        <v>10200</v>
      </c>
      <c r="AO21" s="1">
        <v>0</v>
      </c>
      <c r="AP21" s="1">
        <v>0</v>
      </c>
    </row>
    <row r="22" spans="1:42" ht="14.25" customHeight="1" x14ac:dyDescent="0.3">
      <c r="A22" s="1">
        <v>650</v>
      </c>
      <c r="B22" s="1">
        <v>0</v>
      </c>
      <c r="C22" s="1">
        <v>0</v>
      </c>
      <c r="D22" s="1">
        <v>10300</v>
      </c>
      <c r="E22" s="1">
        <v>0</v>
      </c>
      <c r="F22" s="1">
        <v>0</v>
      </c>
      <c r="G22" s="1">
        <v>10300</v>
      </c>
      <c r="H22" s="1">
        <v>0</v>
      </c>
      <c r="I22" s="1">
        <v>0</v>
      </c>
      <c r="J22" s="1">
        <v>10300</v>
      </c>
      <c r="K22" s="1">
        <v>0</v>
      </c>
      <c r="L22" s="1">
        <v>0</v>
      </c>
      <c r="M22" s="1">
        <v>10300</v>
      </c>
      <c r="N22" s="1">
        <v>0</v>
      </c>
      <c r="O22" s="1">
        <v>0</v>
      </c>
      <c r="P22" s="1">
        <v>10300</v>
      </c>
      <c r="Q22" s="1">
        <v>0</v>
      </c>
      <c r="R22" s="1">
        <v>0</v>
      </c>
      <c r="S22" s="1">
        <v>10300</v>
      </c>
      <c r="T22" s="1">
        <v>0</v>
      </c>
      <c r="U22" s="1">
        <v>0</v>
      </c>
      <c r="V22" s="1">
        <v>10300</v>
      </c>
      <c r="W22" s="1">
        <v>0</v>
      </c>
      <c r="X22" s="1">
        <v>0</v>
      </c>
      <c r="Y22" s="1">
        <v>10300</v>
      </c>
      <c r="Z22" s="1">
        <v>0</v>
      </c>
      <c r="AA22" s="1">
        <v>0</v>
      </c>
      <c r="AB22" s="1">
        <v>10300</v>
      </c>
      <c r="AC22" s="1">
        <v>0</v>
      </c>
      <c r="AD22" s="1">
        <v>0</v>
      </c>
      <c r="AE22" s="1">
        <v>10300</v>
      </c>
      <c r="AF22" s="1">
        <v>0</v>
      </c>
      <c r="AG22" s="1">
        <v>0</v>
      </c>
      <c r="AH22" s="1">
        <v>10300</v>
      </c>
      <c r="AI22" s="1">
        <v>0</v>
      </c>
      <c r="AJ22" s="1">
        <v>0</v>
      </c>
      <c r="AK22" s="1">
        <v>10300</v>
      </c>
      <c r="AL22" s="1">
        <v>0</v>
      </c>
      <c r="AM22" s="1">
        <v>0</v>
      </c>
      <c r="AN22" s="1">
        <v>10300</v>
      </c>
      <c r="AO22" s="1">
        <v>0</v>
      </c>
      <c r="AP22" s="1">
        <v>0</v>
      </c>
    </row>
    <row r="23" spans="1:42" ht="14.25" customHeight="1" x14ac:dyDescent="0.3">
      <c r="A23" s="1">
        <v>700</v>
      </c>
      <c r="B23" s="1">
        <v>0</v>
      </c>
      <c r="C23" s="1">
        <v>0</v>
      </c>
      <c r="D23" s="1">
        <v>10300</v>
      </c>
      <c r="E23" s="1">
        <v>0</v>
      </c>
      <c r="F23" s="1">
        <v>0</v>
      </c>
      <c r="G23" s="1">
        <v>10300</v>
      </c>
      <c r="H23" s="1">
        <v>0</v>
      </c>
      <c r="I23" s="1">
        <v>0</v>
      </c>
      <c r="J23" s="1">
        <v>10300</v>
      </c>
      <c r="K23" s="1">
        <v>0</v>
      </c>
      <c r="L23" s="1">
        <v>0</v>
      </c>
      <c r="M23" s="1">
        <v>10300</v>
      </c>
      <c r="N23" s="1">
        <v>0</v>
      </c>
      <c r="O23" s="1">
        <v>0</v>
      </c>
      <c r="P23" s="1">
        <v>10300</v>
      </c>
      <c r="Q23" s="1">
        <v>0</v>
      </c>
      <c r="R23" s="1">
        <v>0</v>
      </c>
      <c r="S23" s="1">
        <v>10300</v>
      </c>
      <c r="T23" s="1">
        <v>0</v>
      </c>
      <c r="U23" s="1">
        <v>0</v>
      </c>
      <c r="V23" s="1">
        <v>10300</v>
      </c>
      <c r="W23" s="1">
        <v>0</v>
      </c>
      <c r="X23" s="1">
        <v>0</v>
      </c>
      <c r="Y23" s="1">
        <v>10300</v>
      </c>
      <c r="Z23" s="1">
        <v>0</v>
      </c>
      <c r="AA23" s="1">
        <v>0</v>
      </c>
      <c r="AB23" s="1">
        <v>10300</v>
      </c>
      <c r="AC23" s="1">
        <v>0</v>
      </c>
      <c r="AD23" s="1">
        <v>0</v>
      </c>
      <c r="AE23" s="1">
        <v>10300</v>
      </c>
      <c r="AF23" s="1">
        <v>0</v>
      </c>
      <c r="AG23" s="1">
        <v>0</v>
      </c>
      <c r="AH23" s="1">
        <v>10300</v>
      </c>
      <c r="AI23" s="1">
        <v>0</v>
      </c>
      <c r="AJ23" s="1">
        <v>0</v>
      </c>
      <c r="AK23" s="1">
        <v>10300</v>
      </c>
      <c r="AL23" s="1">
        <v>0</v>
      </c>
      <c r="AM23" s="1">
        <v>0</v>
      </c>
      <c r="AN23" s="1">
        <v>10300</v>
      </c>
      <c r="AO23" s="1">
        <v>0</v>
      </c>
      <c r="AP23" s="1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Normal="100" workbookViewId="0">
      <selection activeCell="C23" sqref="C23"/>
    </sheetView>
  </sheetViews>
  <sheetFormatPr defaultColWidth="10.109375" defaultRowHeight="14.25" customHeight="1" x14ac:dyDescent="0.3"/>
  <cols>
    <col min="2" max="2" width="10.5546875" bestFit="1" customWidth="1"/>
    <col min="3" max="3" width="24.6640625" bestFit="1" customWidth="1"/>
    <col min="5" max="5" width="12.88671875" bestFit="1" customWidth="1"/>
  </cols>
  <sheetData>
    <row r="1" spans="1:6" ht="13.5" customHeight="1" x14ac:dyDescent="0.3">
      <c r="A1" s="1" t="s">
        <v>370</v>
      </c>
      <c r="B1" s="1" t="s">
        <v>366</v>
      </c>
      <c r="C1" s="1" t="s">
        <v>371</v>
      </c>
      <c r="D1" s="1" t="s">
        <v>377</v>
      </c>
      <c r="E1" s="1" t="s">
        <v>376</v>
      </c>
      <c r="F1" s="1" t="s">
        <v>374</v>
      </c>
    </row>
    <row r="2" spans="1:6" ht="13.5" customHeight="1" x14ac:dyDescent="0.3">
      <c r="A2" s="1" t="s">
        <v>353</v>
      </c>
      <c r="B2" s="15">
        <v>46023</v>
      </c>
      <c r="C2" s="1" t="s">
        <v>355</v>
      </c>
      <c r="D2" s="1" t="s">
        <v>349</v>
      </c>
      <c r="E2" s="1" t="s">
        <v>350</v>
      </c>
      <c r="F2" s="1" t="s">
        <v>375</v>
      </c>
    </row>
    <row r="3" spans="1:6" ht="13.5" customHeight="1" x14ac:dyDescent="0.3">
      <c r="A3" s="1" t="s">
        <v>352</v>
      </c>
      <c r="B3" s="15">
        <v>46048</v>
      </c>
      <c r="C3" s="1" t="s">
        <v>367</v>
      </c>
      <c r="D3" s="1" t="s">
        <v>350</v>
      </c>
      <c r="E3" s="1" t="s">
        <v>350</v>
      </c>
      <c r="F3" s="1" t="s">
        <v>375</v>
      </c>
    </row>
    <row r="4" spans="1:6" ht="13.5" customHeight="1" x14ac:dyDescent="0.3">
      <c r="A4" s="1" t="s">
        <v>354</v>
      </c>
      <c r="B4" s="15">
        <v>46084</v>
      </c>
      <c r="C4" s="1" t="s">
        <v>372</v>
      </c>
      <c r="D4" s="1" t="s">
        <v>350</v>
      </c>
      <c r="E4" s="1" t="s">
        <v>349</v>
      </c>
      <c r="F4" s="1" t="s">
        <v>375</v>
      </c>
    </row>
    <row r="5" spans="1:6" ht="13.5" customHeight="1" x14ac:dyDescent="0.3">
      <c r="A5" s="1" t="s">
        <v>353</v>
      </c>
      <c r="B5" s="15">
        <v>46107</v>
      </c>
      <c r="C5" s="1" t="s">
        <v>356</v>
      </c>
      <c r="D5" s="1" t="s">
        <v>350</v>
      </c>
      <c r="E5" s="1" t="s">
        <v>349</v>
      </c>
      <c r="F5" s="1" t="s">
        <v>375</v>
      </c>
    </row>
    <row r="6" spans="1:6" ht="13.5" customHeight="1" x14ac:dyDescent="0.3">
      <c r="A6" s="1" t="s">
        <v>354</v>
      </c>
      <c r="B6" s="15">
        <v>46112</v>
      </c>
      <c r="C6" s="1" t="s">
        <v>357</v>
      </c>
      <c r="D6" s="1" t="s">
        <v>350</v>
      </c>
      <c r="E6" s="1" t="s">
        <v>349</v>
      </c>
      <c r="F6" s="1" t="s">
        <v>375</v>
      </c>
    </row>
    <row r="7" spans="1:6" ht="13.5" customHeight="1" x14ac:dyDescent="0.3">
      <c r="A7" s="1" t="s">
        <v>351</v>
      </c>
      <c r="B7" s="15">
        <v>46115</v>
      </c>
      <c r="C7" s="1" t="s">
        <v>368</v>
      </c>
      <c r="D7" s="1" t="s">
        <v>350</v>
      </c>
      <c r="E7" s="1" t="s">
        <v>350</v>
      </c>
      <c r="F7" s="1" t="s">
        <v>375</v>
      </c>
    </row>
    <row r="8" spans="1:6" ht="13.5" customHeight="1" x14ac:dyDescent="0.3">
      <c r="A8" s="1" t="s">
        <v>354</v>
      </c>
      <c r="B8" s="15">
        <v>46126</v>
      </c>
      <c r="C8" s="1" t="s">
        <v>358</v>
      </c>
      <c r="D8" s="1" t="s">
        <v>350</v>
      </c>
      <c r="E8" s="1" t="s">
        <v>349</v>
      </c>
      <c r="F8" s="1" t="s">
        <v>375</v>
      </c>
    </row>
    <row r="9" spans="1:6" ht="13.5" customHeight="1" x14ac:dyDescent="0.3">
      <c r="A9" s="1" t="s">
        <v>351</v>
      </c>
      <c r="B9" s="15">
        <v>46143</v>
      </c>
      <c r="C9" s="1" t="s">
        <v>359</v>
      </c>
      <c r="D9" s="1" t="s">
        <v>350</v>
      </c>
      <c r="E9" s="1" t="s">
        <v>349</v>
      </c>
      <c r="F9" s="1" t="s">
        <v>375</v>
      </c>
    </row>
    <row r="10" spans="1:6" ht="13.5" customHeight="1" x14ac:dyDescent="0.3">
      <c r="A10" s="1" t="s">
        <v>353</v>
      </c>
      <c r="B10" s="15">
        <v>46170</v>
      </c>
      <c r="C10" s="1" t="s">
        <v>360</v>
      </c>
      <c r="D10" s="1" t="s">
        <v>350</v>
      </c>
      <c r="E10" s="1" t="s">
        <v>349</v>
      </c>
      <c r="F10" s="1" t="s">
        <v>375</v>
      </c>
    </row>
    <row r="11" spans="1:6" ht="13.5" customHeight="1" x14ac:dyDescent="0.3">
      <c r="A11" s="1" t="s">
        <v>351</v>
      </c>
      <c r="B11" s="15">
        <v>46199</v>
      </c>
      <c r="C11" s="1" t="s">
        <v>361</v>
      </c>
      <c r="D11" s="1" t="s">
        <v>350</v>
      </c>
      <c r="E11" s="1" t="s">
        <v>349</v>
      </c>
      <c r="F11" s="1" t="s">
        <v>375</v>
      </c>
    </row>
    <row r="12" spans="1:6" ht="13.5" customHeight="1" x14ac:dyDescent="0.3">
      <c r="A12" s="1" t="s">
        <v>352</v>
      </c>
      <c r="B12" s="15">
        <v>46279</v>
      </c>
      <c r="C12" s="1" t="s">
        <v>362</v>
      </c>
      <c r="D12" s="1" t="s">
        <v>350</v>
      </c>
      <c r="E12" s="1" t="s">
        <v>349</v>
      </c>
      <c r="F12" s="1" t="s">
        <v>375</v>
      </c>
    </row>
    <row r="13" spans="1:6" ht="13.5" customHeight="1" x14ac:dyDescent="0.3">
      <c r="A13" s="1" t="s">
        <v>351</v>
      </c>
      <c r="B13" s="15">
        <v>46297</v>
      </c>
      <c r="C13" s="1" t="s">
        <v>369</v>
      </c>
      <c r="D13" s="1" t="s">
        <v>350</v>
      </c>
      <c r="E13" s="1" t="s">
        <v>350</v>
      </c>
      <c r="F13" s="1" t="s">
        <v>375</v>
      </c>
    </row>
    <row r="14" spans="1:6" ht="13.5" customHeight="1" x14ac:dyDescent="0.3">
      <c r="A14" s="1" t="s">
        <v>354</v>
      </c>
      <c r="B14" s="15">
        <v>46315</v>
      </c>
      <c r="C14" s="1" t="s">
        <v>363</v>
      </c>
      <c r="D14" s="1" t="s">
        <v>350</v>
      </c>
      <c r="E14" s="1" t="s">
        <v>349</v>
      </c>
      <c r="F14" s="1" t="s">
        <v>375</v>
      </c>
    </row>
    <row r="15" spans="1:6" ht="13.5" customHeight="1" x14ac:dyDescent="0.3">
      <c r="A15" s="1" t="s">
        <v>354</v>
      </c>
      <c r="B15" s="15">
        <v>46336</v>
      </c>
      <c r="C15" s="1" t="s">
        <v>364</v>
      </c>
      <c r="D15" s="1" t="s">
        <v>350</v>
      </c>
      <c r="E15" s="1" t="s">
        <v>349</v>
      </c>
      <c r="F15" s="1" t="s">
        <v>375</v>
      </c>
    </row>
    <row r="16" spans="1:6" ht="14.25" customHeight="1" x14ac:dyDescent="0.3">
      <c r="A16" s="1" t="s">
        <v>354</v>
      </c>
      <c r="B16" s="15">
        <v>46350</v>
      </c>
      <c r="C16" s="1" t="s">
        <v>365</v>
      </c>
      <c r="D16" s="1" t="s">
        <v>350</v>
      </c>
      <c r="E16" s="1" t="s">
        <v>349</v>
      </c>
      <c r="F16" s="1" t="s">
        <v>375</v>
      </c>
    </row>
    <row r="17" spans="1:6" ht="14.25" customHeight="1" x14ac:dyDescent="0.3">
      <c r="A17" s="1" t="s">
        <v>351</v>
      </c>
      <c r="B17" s="15">
        <v>46381</v>
      </c>
      <c r="C17" s="1" t="s">
        <v>373</v>
      </c>
      <c r="D17" s="1" t="s">
        <v>350</v>
      </c>
      <c r="E17" s="1" t="s">
        <v>350</v>
      </c>
      <c r="F17" s="1" t="s">
        <v>375</v>
      </c>
    </row>
    <row r="18" spans="1:6" ht="14.25" customHeight="1" x14ac:dyDescent="0.3">
      <c r="B18" s="15"/>
    </row>
  </sheetData>
  <phoneticPr fontId="8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9E60-15FB-4251-95BD-FC185B701099}">
  <dimension ref="B1:AC12"/>
  <sheetViews>
    <sheetView zoomScaleNormal="100" workbookViewId="0">
      <selection sqref="A1:XFD10"/>
    </sheetView>
  </sheetViews>
  <sheetFormatPr defaultColWidth="8.6640625" defaultRowHeight="14.25" customHeight="1" x14ac:dyDescent="0.3"/>
  <cols>
    <col min="1" max="1" width="8.6640625" style="1"/>
    <col min="2" max="2" width="11.88671875" style="1" customWidth="1"/>
    <col min="3" max="3" width="15.109375" style="11" customWidth="1"/>
    <col min="4" max="4" width="11.88671875" style="11" customWidth="1"/>
    <col min="5" max="5" width="15" style="1" customWidth="1"/>
    <col min="6" max="6" width="14.109375" style="1" customWidth="1"/>
    <col min="7" max="7" width="9.33203125" style="1" customWidth="1"/>
    <col min="8" max="9" width="17.33203125" style="1" customWidth="1"/>
    <col min="10" max="10" width="15" style="1" customWidth="1"/>
    <col min="11" max="12" width="17.33203125" style="1" customWidth="1"/>
    <col min="13" max="13" width="19.33203125" style="1" customWidth="1"/>
    <col min="14" max="14" width="13" style="1" customWidth="1"/>
    <col min="15" max="15" width="14" style="1" customWidth="1"/>
    <col min="16" max="16" width="15.33203125" style="1" customWidth="1"/>
    <col min="17" max="17" width="10.44140625" style="1" customWidth="1"/>
    <col min="18" max="18" width="11.6640625" style="1" customWidth="1"/>
    <col min="19" max="19" width="14.44140625" style="1" hidden="1" customWidth="1"/>
    <col min="20" max="20" width="17.33203125" style="1" hidden="1" customWidth="1"/>
    <col min="21" max="21" width="18.88671875" style="1" hidden="1" customWidth="1"/>
    <col min="22" max="24" width="16.5546875" style="1" hidden="1" customWidth="1"/>
    <col min="25" max="25" width="17.33203125" style="1" hidden="1" customWidth="1"/>
    <col min="26" max="26" width="17.5546875" style="1" hidden="1" customWidth="1"/>
    <col min="27" max="27" width="8.6640625" style="1"/>
    <col min="28" max="28" width="14.88671875" style="1" bestFit="1" customWidth="1"/>
    <col min="29" max="29" width="12.21875" style="1" bestFit="1" customWidth="1"/>
    <col min="30" max="16384" width="8.6640625" style="1"/>
  </cols>
  <sheetData>
    <row r="1" spans="2:29" ht="15" customHeight="1" x14ac:dyDescent="0.3">
      <c r="B1" s="2" t="s">
        <v>0</v>
      </c>
      <c r="C1" s="7" t="s">
        <v>328</v>
      </c>
      <c r="D1" s="7" t="s">
        <v>2</v>
      </c>
      <c r="E1" s="7" t="s">
        <v>3</v>
      </c>
      <c r="F1" s="7" t="s">
        <v>4</v>
      </c>
      <c r="G1" s="2" t="s">
        <v>329</v>
      </c>
      <c r="H1" s="2" t="s">
        <v>6</v>
      </c>
      <c r="I1" s="2" t="s">
        <v>7</v>
      </c>
      <c r="J1" s="2" t="s">
        <v>306</v>
      </c>
      <c r="K1" s="2" t="s">
        <v>307</v>
      </c>
      <c r="L1" s="2" t="s">
        <v>308</v>
      </c>
      <c r="M1" s="6" t="s">
        <v>309</v>
      </c>
      <c r="N1" s="2" t="s">
        <v>310</v>
      </c>
      <c r="O1" s="7" t="s">
        <v>311</v>
      </c>
      <c r="P1" s="7" t="s">
        <v>312</v>
      </c>
      <c r="Q1" s="7" t="s">
        <v>313</v>
      </c>
      <c r="R1" s="8" t="s">
        <v>314</v>
      </c>
      <c r="S1" s="7" t="s">
        <v>315</v>
      </c>
      <c r="T1" s="6" t="s">
        <v>316</v>
      </c>
      <c r="U1" s="6" t="s">
        <v>317</v>
      </c>
      <c r="V1" s="6" t="s">
        <v>318</v>
      </c>
      <c r="W1" s="7" t="s">
        <v>319</v>
      </c>
      <c r="X1" s="7" t="s">
        <v>320</v>
      </c>
      <c r="Y1" s="7" t="s">
        <v>321</v>
      </c>
      <c r="Z1" s="11" t="s">
        <v>322</v>
      </c>
      <c r="AA1" s="1" t="s">
        <v>323</v>
      </c>
      <c r="AB1" s="11" t="s">
        <v>324</v>
      </c>
      <c r="AC1" s="1" t="s">
        <v>325</v>
      </c>
    </row>
    <row r="2" spans="2:29" ht="15" customHeight="1" x14ac:dyDescent="0.3">
      <c r="B2" s="16" t="s">
        <v>326</v>
      </c>
      <c r="C2" s="16" t="s">
        <v>326</v>
      </c>
      <c r="D2" s="16" t="s">
        <v>326</v>
      </c>
      <c r="E2" s="1" t="s">
        <v>11</v>
      </c>
      <c r="F2" s="1" t="s">
        <v>11</v>
      </c>
      <c r="G2" s="16" t="s">
        <v>330</v>
      </c>
      <c r="H2" s="16" t="s">
        <v>326</v>
      </c>
      <c r="I2" s="16" t="s">
        <v>326</v>
      </c>
      <c r="J2" s="1">
        <v>0</v>
      </c>
      <c r="K2" s="1">
        <v>0.5</v>
      </c>
      <c r="L2" s="1">
        <v>0.5</v>
      </c>
      <c r="M2" s="1">
        <v>5</v>
      </c>
      <c r="N2" s="1">
        <v>1</v>
      </c>
      <c r="O2" s="1">
        <v>12</v>
      </c>
      <c r="P2" s="1">
        <v>30</v>
      </c>
      <c r="Q2" s="1">
        <v>0</v>
      </c>
      <c r="R2" s="1">
        <v>100</v>
      </c>
      <c r="S2" s="1">
        <v>0.5</v>
      </c>
      <c r="T2" s="1">
        <v>20</v>
      </c>
      <c r="U2" s="1">
        <v>20</v>
      </c>
      <c r="V2" s="1">
        <v>0</v>
      </c>
      <c r="W2" s="1">
        <v>0</v>
      </c>
      <c r="X2" s="1">
        <v>50</v>
      </c>
      <c r="Y2" s="1">
        <v>60</v>
      </c>
      <c r="Z2" s="1">
        <v>100</v>
      </c>
      <c r="AA2" s="1">
        <v>10</v>
      </c>
      <c r="AB2" s="1">
        <v>50</v>
      </c>
      <c r="AC2" s="1">
        <v>3600</v>
      </c>
    </row>
    <row r="3" spans="2:29" ht="13.5" customHeight="1" x14ac:dyDescent="0.3">
      <c r="B3" s="1" t="s">
        <v>327</v>
      </c>
      <c r="C3" s="1" t="s">
        <v>327</v>
      </c>
      <c r="D3" s="1" t="s">
        <v>327</v>
      </c>
      <c r="E3" s="1" t="s">
        <v>11</v>
      </c>
      <c r="F3" s="1" t="s">
        <v>11</v>
      </c>
      <c r="G3" s="16" t="s">
        <v>330</v>
      </c>
      <c r="H3" s="1" t="s">
        <v>327</v>
      </c>
      <c r="I3" s="1" t="s">
        <v>327</v>
      </c>
      <c r="J3" s="1">
        <v>1</v>
      </c>
      <c r="K3" s="1">
        <v>0.5</v>
      </c>
      <c r="L3" s="1">
        <v>0.5</v>
      </c>
      <c r="M3" s="1">
        <v>5</v>
      </c>
      <c r="N3" s="1">
        <v>1</v>
      </c>
      <c r="O3" s="1">
        <v>12</v>
      </c>
      <c r="P3" s="1">
        <v>30</v>
      </c>
      <c r="Q3" s="1">
        <v>0</v>
      </c>
      <c r="R3" s="1">
        <v>100</v>
      </c>
      <c r="S3" s="1">
        <v>0.5</v>
      </c>
      <c r="T3" s="1">
        <v>2</v>
      </c>
      <c r="U3" s="1">
        <v>2</v>
      </c>
      <c r="V3" s="1">
        <v>0</v>
      </c>
      <c r="W3" s="1">
        <v>0</v>
      </c>
      <c r="X3" s="1">
        <v>50</v>
      </c>
      <c r="Y3" s="1">
        <v>60</v>
      </c>
      <c r="Z3" s="1">
        <v>100</v>
      </c>
      <c r="AA3" s="1">
        <v>250</v>
      </c>
      <c r="AB3" s="1">
        <v>5</v>
      </c>
      <c r="AC3" s="1">
        <f>3600*2</f>
        <v>7200</v>
      </c>
    </row>
    <row r="4" spans="2:29" ht="13.5" customHeight="1" x14ac:dyDescent="0.3">
      <c r="B4" s="1" t="s">
        <v>380</v>
      </c>
      <c r="C4" s="1" t="s">
        <v>380</v>
      </c>
      <c r="D4" s="1" t="s">
        <v>380</v>
      </c>
      <c r="E4" s="1" t="s">
        <v>11</v>
      </c>
      <c r="F4" s="1" t="s">
        <v>11</v>
      </c>
      <c r="G4" s="16" t="s">
        <v>330</v>
      </c>
      <c r="H4" s="1" t="s">
        <v>380</v>
      </c>
      <c r="I4" s="1" t="s">
        <v>380</v>
      </c>
      <c r="J4" s="1">
        <v>0</v>
      </c>
      <c r="K4" s="1">
        <v>0.5</v>
      </c>
      <c r="L4" s="1">
        <v>0.5</v>
      </c>
      <c r="M4" s="1">
        <v>1</v>
      </c>
      <c r="N4" s="1">
        <v>1</v>
      </c>
      <c r="O4" s="1">
        <v>12</v>
      </c>
      <c r="P4" s="1">
        <v>30</v>
      </c>
      <c r="Q4" s="1">
        <v>0</v>
      </c>
      <c r="R4" s="1">
        <v>100</v>
      </c>
      <c r="S4" s="1">
        <v>0.5</v>
      </c>
      <c r="T4" s="1">
        <v>2</v>
      </c>
      <c r="U4" s="1">
        <v>2</v>
      </c>
      <c r="V4" s="1">
        <v>0</v>
      </c>
      <c r="W4" s="1">
        <v>0</v>
      </c>
      <c r="X4" s="1">
        <v>50</v>
      </c>
      <c r="Y4" s="1">
        <v>60</v>
      </c>
      <c r="Z4" s="1">
        <v>100</v>
      </c>
      <c r="AA4" s="1">
        <v>1250</v>
      </c>
      <c r="AB4" s="1">
        <v>5</v>
      </c>
      <c r="AC4" s="1">
        <f>3600*2</f>
        <v>7200</v>
      </c>
    </row>
    <row r="5" spans="2:29" ht="13.5" customHeight="1" x14ac:dyDescent="0.3">
      <c r="B5" s="1" t="s">
        <v>378</v>
      </c>
      <c r="C5" s="1" t="s">
        <v>378</v>
      </c>
      <c r="D5" s="1" t="s">
        <v>378</v>
      </c>
      <c r="E5" s="1" t="s">
        <v>11</v>
      </c>
      <c r="F5" s="1" t="s">
        <v>11</v>
      </c>
      <c r="G5" s="16" t="s">
        <v>330</v>
      </c>
      <c r="H5" s="1" t="s">
        <v>378</v>
      </c>
      <c r="I5" s="1" t="s">
        <v>378</v>
      </c>
      <c r="J5" s="1">
        <v>0</v>
      </c>
      <c r="K5" s="1">
        <v>0.5</v>
      </c>
      <c r="L5" s="1">
        <v>0.5</v>
      </c>
      <c r="M5" s="1">
        <v>1</v>
      </c>
      <c r="N5" s="1">
        <v>1</v>
      </c>
      <c r="O5" s="1">
        <v>12</v>
      </c>
      <c r="P5" s="1">
        <v>30</v>
      </c>
      <c r="Q5" s="1">
        <v>0</v>
      </c>
      <c r="R5" s="1">
        <v>100</v>
      </c>
      <c r="S5" s="1">
        <v>0.5</v>
      </c>
      <c r="T5" s="1">
        <v>2</v>
      </c>
      <c r="U5" s="1">
        <v>2</v>
      </c>
      <c r="V5" s="1">
        <v>0</v>
      </c>
      <c r="W5" s="1">
        <v>0</v>
      </c>
      <c r="X5" s="1">
        <v>50</v>
      </c>
      <c r="Y5" s="1">
        <v>60</v>
      </c>
      <c r="Z5" s="1">
        <v>100</v>
      </c>
      <c r="AA5" s="1">
        <v>100</v>
      </c>
      <c r="AB5" s="1">
        <v>5</v>
      </c>
      <c r="AC5" s="1">
        <f t="shared" ref="AC5:AC6" si="0">3600*2</f>
        <v>7200</v>
      </c>
    </row>
    <row r="6" spans="2:29" ht="13.5" customHeight="1" x14ac:dyDescent="0.3">
      <c r="B6" s="1" t="s">
        <v>379</v>
      </c>
      <c r="C6" s="1" t="s">
        <v>379</v>
      </c>
      <c r="D6" s="1" t="s">
        <v>379</v>
      </c>
      <c r="E6" s="1" t="s">
        <v>11</v>
      </c>
      <c r="F6" s="1" t="s">
        <v>11</v>
      </c>
      <c r="G6" s="16" t="s">
        <v>330</v>
      </c>
      <c r="H6" s="1" t="s">
        <v>379</v>
      </c>
      <c r="I6" s="1" t="s">
        <v>379</v>
      </c>
      <c r="J6" s="1">
        <v>0</v>
      </c>
      <c r="K6" s="1">
        <v>0.5</v>
      </c>
      <c r="L6" s="1">
        <v>0.5</v>
      </c>
      <c r="M6" s="1">
        <v>1</v>
      </c>
      <c r="N6" s="1">
        <v>1</v>
      </c>
      <c r="O6" s="1">
        <v>12</v>
      </c>
      <c r="P6" s="1">
        <v>30</v>
      </c>
      <c r="Q6" s="1">
        <v>0</v>
      </c>
      <c r="R6" s="1">
        <v>100</v>
      </c>
      <c r="S6" s="1">
        <v>0.5</v>
      </c>
      <c r="T6" s="1">
        <v>2</v>
      </c>
      <c r="U6" s="1">
        <v>2</v>
      </c>
      <c r="V6" s="1">
        <v>0</v>
      </c>
      <c r="W6" s="1">
        <v>0</v>
      </c>
      <c r="X6" s="1">
        <v>50</v>
      </c>
      <c r="Y6" s="1">
        <v>60</v>
      </c>
      <c r="Z6" s="1">
        <v>100</v>
      </c>
      <c r="AA6" s="1">
        <v>5</v>
      </c>
      <c r="AB6" s="1">
        <v>5</v>
      </c>
      <c r="AC6" s="1">
        <f t="shared" si="0"/>
        <v>7200</v>
      </c>
    </row>
    <row r="7" spans="2:29" ht="13.5" customHeight="1" x14ac:dyDescent="0.3">
      <c r="B7" s="1" t="s">
        <v>286</v>
      </c>
      <c r="C7" s="11" t="s">
        <v>286</v>
      </c>
      <c r="D7" s="11" t="s">
        <v>286</v>
      </c>
      <c r="E7" s="1" t="s">
        <v>11</v>
      </c>
      <c r="F7" s="1" t="s">
        <v>11</v>
      </c>
      <c r="G7" s="1" t="s">
        <v>284</v>
      </c>
      <c r="H7" s="10" t="s">
        <v>13</v>
      </c>
      <c r="I7" s="10" t="s">
        <v>13</v>
      </c>
      <c r="J7" s="1">
        <v>0</v>
      </c>
      <c r="K7" s="1">
        <v>0.2</v>
      </c>
      <c r="L7" s="1">
        <v>0.2</v>
      </c>
      <c r="M7" s="1">
        <v>1</v>
      </c>
      <c r="N7" s="1">
        <v>1</v>
      </c>
      <c r="O7" s="1">
        <v>12</v>
      </c>
      <c r="P7" s="1">
        <v>30</v>
      </c>
      <c r="Q7" s="1">
        <v>0</v>
      </c>
      <c r="R7" s="1">
        <v>100</v>
      </c>
      <c r="S7" s="1">
        <v>1</v>
      </c>
      <c r="T7" s="1">
        <v>700</v>
      </c>
      <c r="U7" s="1">
        <v>30</v>
      </c>
      <c r="V7" s="1">
        <v>100</v>
      </c>
      <c r="W7" s="1">
        <v>-100</v>
      </c>
      <c r="X7" s="1">
        <v>50</v>
      </c>
      <c r="Y7" s="1">
        <v>60</v>
      </c>
      <c r="Z7" s="1">
        <v>100</v>
      </c>
      <c r="AA7" s="1">
        <v>1</v>
      </c>
      <c r="AB7" s="1">
        <v>50</v>
      </c>
      <c r="AC7" s="1">
        <v>3600</v>
      </c>
    </row>
    <row r="8" spans="2:29" ht="13.5" customHeight="1" x14ac:dyDescent="0.3">
      <c r="B8" s="1" t="s">
        <v>287</v>
      </c>
      <c r="C8" s="11" t="s">
        <v>287</v>
      </c>
      <c r="D8" s="11" t="s">
        <v>287</v>
      </c>
      <c r="E8" s="1" t="s">
        <v>11</v>
      </c>
      <c r="F8" s="1" t="s">
        <v>11</v>
      </c>
      <c r="G8" s="1" t="s">
        <v>284</v>
      </c>
      <c r="H8" s="10" t="s">
        <v>288</v>
      </c>
      <c r="I8" s="10" t="s">
        <v>288</v>
      </c>
      <c r="J8" s="1">
        <v>0</v>
      </c>
      <c r="K8" s="1">
        <v>0.2</v>
      </c>
      <c r="L8" s="1">
        <v>0.2</v>
      </c>
      <c r="M8" s="1">
        <v>1</v>
      </c>
      <c r="N8" s="1">
        <v>1</v>
      </c>
      <c r="O8" s="1">
        <v>35</v>
      </c>
      <c r="P8" s="1">
        <v>60</v>
      </c>
      <c r="Q8" s="1">
        <v>0</v>
      </c>
      <c r="R8" s="1">
        <v>200</v>
      </c>
      <c r="S8" s="1">
        <v>1</v>
      </c>
      <c r="T8" s="1">
        <v>1400</v>
      </c>
      <c r="U8" s="1">
        <v>60</v>
      </c>
      <c r="V8" s="1">
        <v>200</v>
      </c>
      <c r="W8" s="1">
        <v>-200</v>
      </c>
      <c r="X8" s="1">
        <v>100</v>
      </c>
      <c r="Y8" s="1">
        <v>120</v>
      </c>
      <c r="Z8" s="1">
        <v>200</v>
      </c>
      <c r="AA8" s="1">
        <v>1</v>
      </c>
      <c r="AB8" s="1">
        <v>50</v>
      </c>
      <c r="AC8" s="1">
        <v>3600</v>
      </c>
    </row>
    <row r="9" spans="2:29" ht="13.5" customHeight="1" x14ac:dyDescent="0.3">
      <c r="B9" s="1" t="s">
        <v>282</v>
      </c>
      <c r="C9" s="11" t="s">
        <v>282</v>
      </c>
      <c r="D9" s="11" t="s">
        <v>282</v>
      </c>
      <c r="E9" s="1" t="s">
        <v>11</v>
      </c>
      <c r="F9" s="1" t="s">
        <v>11</v>
      </c>
      <c r="G9" s="1" t="s">
        <v>284</v>
      </c>
      <c r="H9" s="1" t="s">
        <v>285</v>
      </c>
      <c r="I9" s="1" t="s">
        <v>285</v>
      </c>
      <c r="J9" s="1">
        <v>0</v>
      </c>
      <c r="K9" s="1">
        <v>0.2</v>
      </c>
      <c r="L9" s="1">
        <v>0.2</v>
      </c>
      <c r="M9" s="1">
        <v>1</v>
      </c>
      <c r="N9" s="1">
        <v>1</v>
      </c>
      <c r="O9" s="1">
        <v>35</v>
      </c>
      <c r="P9" s="1">
        <v>60</v>
      </c>
      <c r="Q9" s="1">
        <v>0</v>
      </c>
      <c r="R9" s="1">
        <v>200</v>
      </c>
      <c r="S9" s="1">
        <v>1</v>
      </c>
      <c r="T9" s="1">
        <v>1400</v>
      </c>
      <c r="U9" s="1">
        <v>60</v>
      </c>
      <c r="V9" s="1">
        <v>200</v>
      </c>
      <c r="W9" s="1">
        <v>-200</v>
      </c>
      <c r="X9" s="1">
        <v>100</v>
      </c>
      <c r="Y9" s="1">
        <v>120</v>
      </c>
      <c r="Z9" s="1">
        <v>200</v>
      </c>
      <c r="AA9" s="1">
        <v>1</v>
      </c>
      <c r="AB9" s="1">
        <v>50</v>
      </c>
      <c r="AC9" s="1">
        <v>3600</v>
      </c>
    </row>
    <row r="10" spans="2:29" ht="13.5" customHeight="1" x14ac:dyDescent="0.3">
      <c r="B10" s="1" t="s">
        <v>381</v>
      </c>
      <c r="C10" s="1" t="s">
        <v>381</v>
      </c>
      <c r="D10" s="1" t="s">
        <v>381</v>
      </c>
      <c r="E10" s="1" t="s">
        <v>11</v>
      </c>
      <c r="F10" s="1" t="s">
        <v>11</v>
      </c>
      <c r="G10" s="1" t="s">
        <v>284</v>
      </c>
      <c r="H10" s="1" t="s">
        <v>381</v>
      </c>
      <c r="I10" s="1" t="s">
        <v>381</v>
      </c>
      <c r="J10" s="1">
        <v>0</v>
      </c>
      <c r="K10" s="1">
        <v>0.2</v>
      </c>
      <c r="L10" s="1">
        <v>0.2</v>
      </c>
      <c r="M10" s="1">
        <v>1</v>
      </c>
      <c r="N10" s="1">
        <v>1</v>
      </c>
      <c r="O10" s="1">
        <v>35</v>
      </c>
      <c r="P10" s="1">
        <v>60</v>
      </c>
      <c r="Q10" s="1">
        <v>0</v>
      </c>
      <c r="R10" s="1">
        <v>200</v>
      </c>
      <c r="S10" s="1">
        <v>1</v>
      </c>
      <c r="T10" s="1">
        <v>1400</v>
      </c>
      <c r="U10" s="1">
        <v>60</v>
      </c>
      <c r="V10" s="1">
        <v>200</v>
      </c>
      <c r="W10" s="1">
        <v>-200</v>
      </c>
      <c r="X10" s="1">
        <v>100</v>
      </c>
      <c r="Y10" s="1">
        <v>120</v>
      </c>
      <c r="Z10" s="1">
        <v>200</v>
      </c>
      <c r="AA10" s="1">
        <v>1</v>
      </c>
      <c r="AB10" s="1">
        <v>50</v>
      </c>
      <c r="AC10" s="1">
        <v>3600</v>
      </c>
    </row>
    <row r="11" spans="2:29" ht="13.5" customHeight="1" x14ac:dyDescent="0.3"/>
    <row r="12" spans="2:29" ht="13.5" customHeight="1" x14ac:dyDescent="0.3"/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D73D-7FEF-4BB9-805B-2001BBD4ED7F}">
  <dimension ref="B1:O13"/>
  <sheetViews>
    <sheetView workbookViewId="0">
      <selection activeCell="D3" sqref="D3"/>
    </sheetView>
  </sheetViews>
  <sheetFormatPr defaultRowHeight="14.4" x14ac:dyDescent="0.3"/>
  <cols>
    <col min="2" max="2" width="12.109375" bestFit="1" customWidth="1"/>
    <col min="4" max="4" width="12.33203125" bestFit="1" customWidth="1"/>
    <col min="5" max="5" width="14.44140625" bestFit="1" customWidth="1"/>
    <col min="11" max="12" width="12.88671875" bestFit="1" customWidth="1"/>
    <col min="14" max="14" width="12.21875" bestFit="1" customWidth="1"/>
  </cols>
  <sheetData>
    <row r="1" spans="2:15" s="1" customFormat="1" ht="15" customHeight="1" x14ac:dyDescent="0.3">
      <c r="B1" s="2" t="s">
        <v>0</v>
      </c>
      <c r="C1" s="2" t="s">
        <v>329</v>
      </c>
      <c r="D1" s="2" t="s">
        <v>306</v>
      </c>
      <c r="E1" s="2" t="s">
        <v>307</v>
      </c>
      <c r="F1" s="2" t="s">
        <v>308</v>
      </c>
      <c r="G1" s="6" t="s">
        <v>309</v>
      </c>
      <c r="H1" s="2" t="s">
        <v>310</v>
      </c>
      <c r="I1" s="6" t="s">
        <v>316</v>
      </c>
      <c r="J1" s="6" t="s">
        <v>317</v>
      </c>
      <c r="K1" s="6" t="s">
        <v>318</v>
      </c>
      <c r="L1" s="17" t="s">
        <v>319</v>
      </c>
      <c r="M1" s="1" t="s">
        <v>323</v>
      </c>
      <c r="N1" s="1" t="s">
        <v>325</v>
      </c>
      <c r="O1" s="1" t="s">
        <v>385</v>
      </c>
    </row>
    <row r="2" spans="2:15" s="1" customFormat="1" ht="15" customHeight="1" x14ac:dyDescent="0.3">
      <c r="B2" s="16" t="s">
        <v>326</v>
      </c>
      <c r="C2" s="16" t="s">
        <v>330</v>
      </c>
      <c r="D2" s="1">
        <v>0</v>
      </c>
      <c r="E2" s="1">
        <v>0.5</v>
      </c>
      <c r="F2" s="1">
        <v>0.5</v>
      </c>
      <c r="G2" s="1">
        <v>5</v>
      </c>
      <c r="H2" s="1">
        <v>1</v>
      </c>
      <c r="I2" s="1">
        <v>20</v>
      </c>
      <c r="J2" s="1">
        <v>20</v>
      </c>
      <c r="K2" s="1">
        <v>0</v>
      </c>
      <c r="L2" s="1">
        <v>0</v>
      </c>
      <c r="M2" s="1">
        <v>10</v>
      </c>
      <c r="N2" s="1">
        <v>3600</v>
      </c>
    </row>
    <row r="3" spans="2:15" s="1" customFormat="1" ht="13.5" customHeight="1" x14ac:dyDescent="0.3">
      <c r="B3" s="1" t="s">
        <v>327</v>
      </c>
      <c r="C3" s="16" t="s">
        <v>330</v>
      </c>
      <c r="D3" s="1">
        <v>0</v>
      </c>
      <c r="E3" s="1">
        <v>0.5</v>
      </c>
      <c r="F3" s="1">
        <v>0.5</v>
      </c>
      <c r="G3" s="1">
        <v>5</v>
      </c>
      <c r="H3" s="1">
        <v>1</v>
      </c>
      <c r="I3" s="1">
        <v>2</v>
      </c>
      <c r="J3" s="1">
        <v>2</v>
      </c>
      <c r="K3" s="1">
        <v>0</v>
      </c>
      <c r="L3" s="1">
        <v>0</v>
      </c>
      <c r="M3" s="1">
        <v>250</v>
      </c>
      <c r="N3" s="1">
        <f>3600*2</f>
        <v>7200</v>
      </c>
    </row>
    <row r="4" spans="2:15" s="1" customFormat="1" ht="13.5" customHeight="1" x14ac:dyDescent="0.3">
      <c r="B4" s="1" t="s">
        <v>380</v>
      </c>
      <c r="C4" s="16" t="s">
        <v>330</v>
      </c>
      <c r="D4" s="1">
        <v>0</v>
      </c>
      <c r="E4" s="1">
        <v>0.5</v>
      </c>
      <c r="F4" s="1">
        <v>0.5</v>
      </c>
      <c r="G4" s="1">
        <v>1</v>
      </c>
      <c r="H4" s="1">
        <v>1</v>
      </c>
      <c r="I4" s="1">
        <v>2</v>
      </c>
      <c r="J4" s="1">
        <v>2</v>
      </c>
      <c r="K4" s="1">
        <v>0</v>
      </c>
      <c r="L4" s="1">
        <v>0</v>
      </c>
      <c r="M4" s="1">
        <v>1250</v>
      </c>
      <c r="N4" s="1">
        <f>3600*2</f>
        <v>7200</v>
      </c>
    </row>
    <row r="5" spans="2:15" s="1" customFormat="1" ht="13.5" customHeight="1" x14ac:dyDescent="0.3">
      <c r="B5" s="1" t="s">
        <v>378</v>
      </c>
      <c r="C5" s="16" t="s">
        <v>330</v>
      </c>
      <c r="D5" s="1">
        <v>0</v>
      </c>
      <c r="E5" s="1">
        <v>0.5</v>
      </c>
      <c r="F5" s="1">
        <v>0.5</v>
      </c>
      <c r="G5" s="1">
        <v>1</v>
      </c>
      <c r="H5" s="1">
        <v>1</v>
      </c>
      <c r="I5" s="1">
        <v>2</v>
      </c>
      <c r="J5" s="1">
        <v>2</v>
      </c>
      <c r="K5" s="1">
        <v>0</v>
      </c>
      <c r="L5" s="1">
        <v>0</v>
      </c>
      <c r="M5" s="1">
        <v>100</v>
      </c>
      <c r="N5" s="1">
        <f t="shared" ref="N5:N13" si="0">3600*2</f>
        <v>7200</v>
      </c>
    </row>
    <row r="6" spans="2:15" s="1" customFormat="1" ht="13.5" customHeight="1" x14ac:dyDescent="0.3">
      <c r="B6" s="1" t="s">
        <v>379</v>
      </c>
      <c r="C6" s="16" t="s">
        <v>330</v>
      </c>
      <c r="D6" s="1">
        <v>0</v>
      </c>
      <c r="E6" s="1">
        <v>0.5</v>
      </c>
      <c r="F6" s="1">
        <v>0.5</v>
      </c>
      <c r="G6" s="1">
        <v>1</v>
      </c>
      <c r="H6" s="1">
        <v>1</v>
      </c>
      <c r="I6" s="1">
        <v>2</v>
      </c>
      <c r="J6" s="1">
        <v>2</v>
      </c>
      <c r="K6" s="1">
        <v>0</v>
      </c>
      <c r="L6" s="1">
        <v>0</v>
      </c>
      <c r="M6" s="1">
        <v>5</v>
      </c>
      <c r="N6" s="1">
        <f t="shared" si="0"/>
        <v>7200</v>
      </c>
    </row>
    <row r="7" spans="2:15" s="1" customFormat="1" ht="13.5" customHeight="1" x14ac:dyDescent="0.3">
      <c r="B7" s="1" t="s">
        <v>286</v>
      </c>
      <c r="C7" s="1" t="s">
        <v>284</v>
      </c>
      <c r="D7" s="1">
        <v>0</v>
      </c>
      <c r="E7" s="1">
        <v>0.5</v>
      </c>
      <c r="F7" s="1">
        <v>0.5</v>
      </c>
      <c r="G7" s="1">
        <v>1</v>
      </c>
      <c r="H7" s="1">
        <v>1</v>
      </c>
      <c r="I7" s="1">
        <v>25</v>
      </c>
      <c r="J7" s="1">
        <v>25</v>
      </c>
      <c r="K7" s="1">
        <v>0</v>
      </c>
      <c r="L7" s="1">
        <v>0</v>
      </c>
      <c r="M7" s="1">
        <v>1</v>
      </c>
      <c r="N7" s="1">
        <f t="shared" si="0"/>
        <v>7200</v>
      </c>
    </row>
    <row r="8" spans="2:15" s="1" customFormat="1" ht="13.5" customHeight="1" x14ac:dyDescent="0.3">
      <c r="B8" s="1" t="s">
        <v>287</v>
      </c>
      <c r="C8" s="1" t="s">
        <v>284</v>
      </c>
      <c r="D8" s="1">
        <v>0</v>
      </c>
      <c r="E8" s="1">
        <v>0.5</v>
      </c>
      <c r="F8" s="1">
        <v>0.5</v>
      </c>
      <c r="G8" s="1">
        <v>1</v>
      </c>
      <c r="H8" s="1">
        <v>1</v>
      </c>
      <c r="I8" s="1">
        <v>50</v>
      </c>
      <c r="J8" s="1">
        <v>50</v>
      </c>
      <c r="K8" s="1">
        <v>0</v>
      </c>
      <c r="L8" s="1">
        <v>0</v>
      </c>
      <c r="M8" s="1">
        <v>1</v>
      </c>
      <c r="N8" s="1">
        <v>3600</v>
      </c>
    </row>
    <row r="9" spans="2:15" s="1" customFormat="1" ht="13.5" customHeight="1" x14ac:dyDescent="0.3">
      <c r="B9" s="1" t="s">
        <v>282</v>
      </c>
      <c r="C9" s="1" t="s">
        <v>284</v>
      </c>
      <c r="D9" s="1">
        <v>0</v>
      </c>
      <c r="E9" s="1">
        <v>0.5</v>
      </c>
      <c r="F9" s="1">
        <v>0.5</v>
      </c>
      <c r="G9" s="1">
        <v>1</v>
      </c>
      <c r="H9" s="1">
        <v>1</v>
      </c>
      <c r="I9" s="1">
        <v>25</v>
      </c>
      <c r="J9" s="1">
        <v>25</v>
      </c>
      <c r="K9" s="1">
        <v>0</v>
      </c>
      <c r="L9" s="1">
        <v>0</v>
      </c>
      <c r="M9" s="1">
        <v>1</v>
      </c>
      <c r="N9" s="1">
        <f t="shared" si="0"/>
        <v>7200</v>
      </c>
    </row>
    <row r="10" spans="2:15" s="1" customFormat="1" ht="13.5" customHeight="1" x14ac:dyDescent="0.3">
      <c r="B10" s="1" t="s">
        <v>381</v>
      </c>
      <c r="C10" s="1" t="s">
        <v>284</v>
      </c>
      <c r="D10" s="1">
        <v>0</v>
      </c>
      <c r="E10" s="1">
        <v>0.5</v>
      </c>
      <c r="F10" s="1">
        <v>0.5</v>
      </c>
      <c r="G10" s="1">
        <v>1</v>
      </c>
      <c r="H10" s="1">
        <v>1</v>
      </c>
      <c r="I10" s="1">
        <v>25</v>
      </c>
      <c r="J10" s="1">
        <v>25</v>
      </c>
      <c r="K10" s="1">
        <v>0</v>
      </c>
      <c r="L10" s="1">
        <v>0</v>
      </c>
      <c r="M10" s="1">
        <v>1</v>
      </c>
      <c r="N10" s="1">
        <f t="shared" si="0"/>
        <v>7200</v>
      </c>
    </row>
    <row r="11" spans="2:15" x14ac:dyDescent="0.3">
      <c r="B11" t="s">
        <v>174</v>
      </c>
      <c r="C11" s="1" t="s">
        <v>284</v>
      </c>
      <c r="D11" s="1">
        <v>0</v>
      </c>
      <c r="E11" s="1">
        <v>0.5</v>
      </c>
      <c r="F11" s="1">
        <v>0.5</v>
      </c>
      <c r="G11" s="1">
        <v>1</v>
      </c>
      <c r="H11" s="1">
        <v>1</v>
      </c>
      <c r="I11" s="1">
        <v>25</v>
      </c>
      <c r="J11" s="1">
        <v>25</v>
      </c>
      <c r="K11" s="1">
        <v>0</v>
      </c>
      <c r="L11" s="1">
        <v>0</v>
      </c>
      <c r="M11" s="1">
        <v>1</v>
      </c>
      <c r="N11" s="1">
        <f t="shared" si="0"/>
        <v>7200</v>
      </c>
    </row>
    <row r="12" spans="2:15" x14ac:dyDescent="0.3">
      <c r="B12" t="s">
        <v>383</v>
      </c>
      <c r="C12" s="1" t="s">
        <v>284</v>
      </c>
      <c r="D12" s="1">
        <v>0</v>
      </c>
      <c r="E12" s="1">
        <v>0.5</v>
      </c>
      <c r="F12" s="1">
        <v>0.5</v>
      </c>
      <c r="G12" s="1">
        <v>1</v>
      </c>
      <c r="H12" s="1">
        <v>1</v>
      </c>
      <c r="I12" s="1">
        <v>25</v>
      </c>
      <c r="J12" s="1">
        <v>25</v>
      </c>
      <c r="K12" s="1">
        <v>0</v>
      </c>
      <c r="L12" s="1">
        <v>0</v>
      </c>
      <c r="M12" s="1">
        <v>1</v>
      </c>
      <c r="N12" s="1">
        <f t="shared" si="0"/>
        <v>7200</v>
      </c>
    </row>
    <row r="13" spans="2:15" x14ac:dyDescent="0.3">
      <c r="B13" t="s">
        <v>158</v>
      </c>
      <c r="C13" s="1" t="s">
        <v>284</v>
      </c>
      <c r="D13" s="1">
        <v>0</v>
      </c>
      <c r="E13" s="1">
        <v>0.5</v>
      </c>
      <c r="F13" s="1">
        <v>0.5</v>
      </c>
      <c r="G13" s="1">
        <v>1</v>
      </c>
      <c r="H13" s="1">
        <v>1</v>
      </c>
      <c r="I13" s="1">
        <v>25</v>
      </c>
      <c r="J13" s="1">
        <v>25</v>
      </c>
      <c r="K13" s="1">
        <v>0</v>
      </c>
      <c r="L13" s="1">
        <v>0</v>
      </c>
      <c r="M13" s="1">
        <v>1</v>
      </c>
      <c r="N13" s="1">
        <f t="shared" si="0"/>
        <v>7200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Stock_list</vt:lpstr>
      <vt:lpstr>stock_config</vt:lpstr>
      <vt:lpstr>ref_list</vt:lpstr>
      <vt:lpstr>nfo_config</vt:lpstr>
      <vt:lpstr>nfo_list</vt:lpstr>
      <vt:lpstr>nse_stoploss</vt:lpstr>
      <vt:lpstr>stoploss_tbl</vt:lpstr>
      <vt:lpstr>derloss_tbl</vt:lpstr>
      <vt:lpstr>nse_holiday_info</vt:lpstr>
      <vt:lpstr>nfo_list (2)</vt:lpstr>
      <vt:lpstr>new_fno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225</cp:revision>
  <dcterms:created xsi:type="dcterms:W3CDTF">2006-09-16T00:00:00Z</dcterms:created>
  <dcterms:modified xsi:type="dcterms:W3CDTF">2026-09-05T06:36:33Z</dcterms:modified>
  <dc:language>en-US</dc:language>
</cp:coreProperties>
</file>